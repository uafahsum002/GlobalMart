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DE124B9-C0E8-43AF-B68B-C0F3A141E8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alysis 1" sheetId="6" r:id="rId1"/>
    <sheet name="Raw_Employee_Data" sheetId="1" r:id="rId2"/>
    <sheet name="Lookup_Departments" sheetId="2" r:id="rId3"/>
    <sheet name="Lookup_Performance" sheetId="3" r:id="rId4"/>
    <sheet name="Detail1" sheetId="7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M47" i="1" l="1"/>
  <c r="M138" i="1"/>
  <c r="M30" i="1"/>
  <c r="M34" i="1"/>
  <c r="M80" i="1"/>
  <c r="M22" i="1"/>
  <c r="M67" i="1"/>
  <c r="M110" i="1"/>
  <c r="M129" i="1"/>
  <c r="M79" i="1"/>
  <c r="M139" i="1"/>
  <c r="M62" i="1"/>
  <c r="M73" i="1"/>
  <c r="M83" i="1"/>
  <c r="M27" i="1"/>
  <c r="M140" i="1"/>
  <c r="M120" i="1"/>
  <c r="M104" i="1"/>
  <c r="M134" i="1"/>
  <c r="M113" i="1"/>
  <c r="M63" i="1"/>
  <c r="M39" i="1"/>
  <c r="M135" i="1"/>
  <c r="M44" i="1"/>
  <c r="M28" i="1"/>
  <c r="M7" i="1"/>
  <c r="M41" i="1"/>
  <c r="M105" i="1"/>
  <c r="M146" i="1"/>
  <c r="M145" i="1"/>
  <c r="M25" i="1"/>
  <c r="M88" i="1"/>
  <c r="M52" i="1"/>
  <c r="M119" i="1"/>
  <c r="M144" i="1"/>
  <c r="M40" i="1"/>
  <c r="M13" i="1"/>
  <c r="M78" i="1"/>
  <c r="M8" i="1"/>
  <c r="M107" i="1"/>
  <c r="M77" i="1"/>
  <c r="M93" i="1"/>
  <c r="M85" i="1"/>
  <c r="M11" i="1"/>
  <c r="M131" i="1"/>
  <c r="M86" i="1"/>
  <c r="M56" i="1"/>
  <c r="M126" i="1"/>
  <c r="M75" i="1"/>
  <c r="M51" i="1"/>
  <c r="M132" i="1"/>
  <c r="M4" i="1"/>
  <c r="M95" i="1"/>
  <c r="M66" i="1"/>
  <c r="M29" i="1"/>
  <c r="M68" i="1"/>
  <c r="M20" i="1"/>
  <c r="M23" i="1"/>
  <c r="M24" i="1"/>
  <c r="M70" i="1"/>
  <c r="M124" i="1"/>
  <c r="M149" i="1"/>
  <c r="M122" i="1"/>
  <c r="M37" i="1"/>
  <c r="M2" i="1"/>
  <c r="M123" i="1"/>
  <c r="M91" i="1"/>
  <c r="M59" i="1"/>
  <c r="M115" i="1"/>
  <c r="M147" i="1"/>
  <c r="M101" i="1"/>
  <c r="M38" i="1"/>
  <c r="M143" i="1"/>
  <c r="M130" i="1"/>
  <c r="M92" i="1"/>
  <c r="M19" i="1"/>
  <c r="M9" i="1"/>
  <c r="M90" i="1"/>
  <c r="M141" i="1"/>
  <c r="M6" i="1"/>
  <c r="M26" i="1"/>
  <c r="M42" i="1"/>
  <c r="M65" i="1"/>
  <c r="M5" i="1"/>
  <c r="M71" i="1"/>
  <c r="M57" i="1"/>
  <c r="M84" i="1"/>
  <c r="M121" i="1"/>
  <c r="M97" i="1"/>
  <c r="M87" i="1"/>
  <c r="M142" i="1"/>
  <c r="M102" i="1"/>
  <c r="M109" i="1"/>
  <c r="M151" i="1"/>
  <c r="M96" i="1"/>
  <c r="M55" i="1"/>
  <c r="M69" i="1"/>
  <c r="M18" i="1"/>
  <c r="M150" i="1"/>
  <c r="M125" i="1"/>
  <c r="M31" i="1"/>
  <c r="M108" i="1"/>
  <c r="M82" i="1"/>
  <c r="M14" i="1"/>
  <c r="M64" i="1"/>
  <c r="M60" i="1"/>
  <c r="M127" i="1"/>
  <c r="M94" i="1"/>
  <c r="M133" i="1"/>
  <c r="M58" i="1"/>
  <c r="M74" i="1"/>
  <c r="M43" i="1"/>
  <c r="M12" i="1"/>
  <c r="M46" i="1"/>
  <c r="M16" i="1"/>
  <c r="M76" i="1"/>
  <c r="M17" i="1"/>
  <c r="M53" i="1"/>
  <c r="M54" i="1"/>
  <c r="M116" i="1"/>
  <c r="M35" i="1"/>
  <c r="M72" i="1"/>
  <c r="M48" i="1"/>
  <c r="M106" i="1"/>
  <c r="M99" i="1"/>
  <c r="M100" i="1"/>
  <c r="M137" i="1"/>
  <c r="M49" i="1"/>
  <c r="M117" i="1"/>
  <c r="M15" i="1"/>
  <c r="M50" i="1"/>
  <c r="M112" i="1"/>
  <c r="M10" i="1"/>
  <c r="M98" i="1"/>
  <c r="M61" i="1"/>
  <c r="M114" i="1"/>
  <c r="M3" i="1"/>
  <c r="M103" i="1"/>
  <c r="M118" i="1"/>
  <c r="M148" i="1"/>
  <c r="M89" i="1"/>
  <c r="M81" i="1"/>
  <c r="M33" i="1"/>
  <c r="M21" i="1"/>
  <c r="M32" i="1"/>
  <c r="M136" i="1"/>
  <c r="M45" i="1"/>
  <c r="M128" i="1"/>
  <c r="M36" i="1"/>
  <c r="M111" i="1"/>
  <c r="D47" i="1"/>
  <c r="D138" i="1"/>
  <c r="D30" i="1"/>
  <c r="D34" i="1"/>
  <c r="D80" i="1"/>
  <c r="D22" i="1"/>
  <c r="D67" i="1"/>
  <c r="D110" i="1"/>
  <c r="D129" i="1"/>
  <c r="D79" i="1"/>
  <c r="D139" i="1"/>
  <c r="D62" i="1"/>
  <c r="D73" i="1"/>
  <c r="D83" i="1"/>
  <c r="D27" i="1"/>
  <c r="D140" i="1"/>
  <c r="D120" i="1"/>
  <c r="D104" i="1"/>
  <c r="D134" i="1"/>
  <c r="D113" i="1"/>
  <c r="D63" i="1"/>
  <c r="D39" i="1"/>
  <c r="D135" i="1"/>
  <c r="D44" i="1"/>
  <c r="D28" i="1"/>
  <c r="D7" i="1"/>
  <c r="D41" i="1"/>
  <c r="D105" i="1"/>
  <c r="D146" i="1"/>
  <c r="D145" i="1"/>
  <c r="D25" i="1"/>
  <c r="D88" i="1"/>
  <c r="D52" i="1"/>
  <c r="D119" i="1"/>
  <c r="D144" i="1"/>
  <c r="D40" i="1"/>
  <c r="D13" i="1"/>
  <c r="D78" i="1"/>
  <c r="D8" i="1"/>
  <c r="D107" i="1"/>
  <c r="D77" i="1"/>
  <c r="D93" i="1"/>
  <c r="D85" i="1"/>
  <c r="D11" i="1"/>
  <c r="D131" i="1"/>
  <c r="D86" i="1"/>
  <c r="D56" i="1"/>
  <c r="D126" i="1"/>
  <c r="D75" i="1"/>
  <c r="D51" i="1"/>
  <c r="D132" i="1"/>
  <c r="D4" i="1"/>
  <c r="D95" i="1"/>
  <c r="D66" i="1"/>
  <c r="D29" i="1"/>
  <c r="D68" i="1"/>
  <c r="D20" i="1"/>
  <c r="D23" i="1"/>
  <c r="D24" i="1"/>
  <c r="D70" i="1"/>
  <c r="D124" i="1"/>
  <c r="D149" i="1"/>
  <c r="D122" i="1"/>
  <c r="D37" i="1"/>
  <c r="D2" i="1"/>
  <c r="D123" i="1"/>
  <c r="D91" i="1"/>
  <c r="D59" i="1"/>
  <c r="D115" i="1"/>
  <c r="D147" i="1"/>
  <c r="D101" i="1"/>
  <c r="D38" i="1"/>
  <c r="D143" i="1"/>
  <c r="D130" i="1"/>
  <c r="D92" i="1"/>
  <c r="D19" i="1"/>
  <c r="D9" i="1"/>
  <c r="D90" i="1"/>
  <c r="D141" i="1"/>
  <c r="D6" i="1"/>
  <c r="D26" i="1"/>
  <c r="D42" i="1"/>
  <c r="D65" i="1"/>
  <c r="D5" i="1"/>
  <c r="D71" i="1"/>
  <c r="D57" i="1"/>
  <c r="D84" i="1"/>
  <c r="D121" i="1"/>
  <c r="D97" i="1"/>
  <c r="D87" i="1"/>
  <c r="D142" i="1"/>
  <c r="D102" i="1"/>
  <c r="D109" i="1"/>
  <c r="D151" i="1"/>
  <c r="D96" i="1"/>
  <c r="D55" i="1"/>
  <c r="D69" i="1"/>
  <c r="D18" i="1"/>
  <c r="D150" i="1"/>
  <c r="D125" i="1"/>
  <c r="D31" i="1"/>
  <c r="D108" i="1"/>
  <c r="D82" i="1"/>
  <c r="D14" i="1"/>
  <c r="D64" i="1"/>
  <c r="D60" i="1"/>
  <c r="D127" i="1"/>
  <c r="D94" i="1"/>
  <c r="D133" i="1"/>
  <c r="D58" i="1"/>
  <c r="D74" i="1"/>
  <c r="D43" i="1"/>
  <c r="D12" i="1"/>
  <c r="D46" i="1"/>
  <c r="D16" i="1"/>
  <c r="D76" i="1"/>
  <c r="D17" i="1"/>
  <c r="D53" i="1"/>
  <c r="D54" i="1"/>
  <c r="D116" i="1"/>
  <c r="D35" i="1"/>
  <c r="D72" i="1"/>
  <c r="D48" i="1"/>
  <c r="D106" i="1"/>
  <c r="D99" i="1"/>
  <c r="D100" i="1"/>
  <c r="D137" i="1"/>
  <c r="D49" i="1"/>
  <c r="D117" i="1"/>
  <c r="D15" i="1"/>
  <c r="D50" i="1"/>
  <c r="D112" i="1"/>
  <c r="D10" i="1"/>
  <c r="D98" i="1"/>
  <c r="D61" i="1"/>
  <c r="D114" i="1"/>
  <c r="D3" i="1"/>
  <c r="D103" i="1"/>
  <c r="D118" i="1"/>
  <c r="D148" i="1"/>
  <c r="D89" i="1"/>
  <c r="D81" i="1"/>
  <c r="D33" i="1"/>
  <c r="D21" i="1"/>
  <c r="D32" i="1"/>
  <c r="D136" i="1"/>
  <c r="D45" i="1"/>
  <c r="D128" i="1"/>
  <c r="D36" i="1"/>
  <c r="D111" i="1"/>
  <c r="L111" i="1"/>
  <c r="L47" i="1"/>
  <c r="L138" i="1"/>
  <c r="L30" i="1"/>
  <c r="L34" i="1"/>
  <c r="L80" i="1"/>
  <c r="L22" i="1"/>
  <c r="L67" i="1"/>
  <c r="L110" i="1"/>
  <c r="L129" i="1"/>
  <c r="L79" i="1"/>
  <c r="L139" i="1"/>
  <c r="L62" i="1"/>
  <c r="L73" i="1"/>
  <c r="L83" i="1"/>
  <c r="L27" i="1"/>
  <c r="L140" i="1"/>
  <c r="L120" i="1"/>
  <c r="L104" i="1"/>
  <c r="L134" i="1"/>
  <c r="L113" i="1"/>
  <c r="L63" i="1"/>
  <c r="L39" i="1"/>
  <c r="L135" i="1"/>
  <c r="L44" i="1"/>
  <c r="L28" i="1"/>
  <c r="L7" i="1"/>
  <c r="L41" i="1"/>
  <c r="L105" i="1"/>
  <c r="L146" i="1"/>
  <c r="L145" i="1"/>
  <c r="L25" i="1"/>
  <c r="L88" i="1"/>
  <c r="L52" i="1"/>
  <c r="L119" i="1"/>
  <c r="L144" i="1"/>
  <c r="L40" i="1"/>
  <c r="L13" i="1"/>
  <c r="L78" i="1"/>
  <c r="L8" i="1"/>
  <c r="L107" i="1"/>
  <c r="L77" i="1"/>
  <c r="L93" i="1"/>
  <c r="L85" i="1"/>
  <c r="L11" i="1"/>
  <c r="L131" i="1"/>
  <c r="L86" i="1"/>
  <c r="L56" i="1"/>
  <c r="L126" i="1"/>
  <c r="L75" i="1"/>
  <c r="L51" i="1"/>
  <c r="L132" i="1"/>
  <c r="L4" i="1"/>
  <c r="L95" i="1"/>
  <c r="L66" i="1"/>
  <c r="L29" i="1"/>
  <c r="L68" i="1"/>
  <c r="L20" i="1"/>
  <c r="L23" i="1"/>
  <c r="L24" i="1"/>
  <c r="L70" i="1"/>
  <c r="L124" i="1"/>
  <c r="L149" i="1"/>
  <c r="L122" i="1"/>
  <c r="L37" i="1"/>
  <c r="L2" i="1"/>
  <c r="L123" i="1"/>
  <c r="L91" i="1"/>
  <c r="L59" i="1"/>
  <c r="L115" i="1"/>
  <c r="L147" i="1"/>
  <c r="L101" i="1"/>
  <c r="L38" i="1"/>
  <c r="L143" i="1"/>
  <c r="L130" i="1"/>
  <c r="L92" i="1"/>
  <c r="L19" i="1"/>
  <c r="L9" i="1"/>
  <c r="L90" i="1"/>
  <c r="L141" i="1"/>
  <c r="L6" i="1"/>
  <c r="L26" i="1"/>
  <c r="L42" i="1"/>
  <c r="L65" i="1"/>
  <c r="L5" i="1"/>
  <c r="L71" i="1"/>
  <c r="L57" i="1"/>
  <c r="L84" i="1"/>
  <c r="L121" i="1"/>
  <c r="L97" i="1"/>
  <c r="L87" i="1"/>
  <c r="L142" i="1"/>
  <c r="L102" i="1"/>
  <c r="L109" i="1"/>
  <c r="L151" i="1"/>
  <c r="L96" i="1"/>
  <c r="L55" i="1"/>
  <c r="L69" i="1"/>
  <c r="L18" i="1"/>
  <c r="L150" i="1"/>
  <c r="L125" i="1"/>
  <c r="L31" i="1"/>
  <c r="L108" i="1"/>
  <c r="L82" i="1"/>
  <c r="L14" i="1"/>
  <c r="L64" i="1"/>
  <c r="L60" i="1"/>
  <c r="L127" i="1"/>
  <c r="L94" i="1"/>
  <c r="L133" i="1"/>
  <c r="L58" i="1"/>
  <c r="L74" i="1"/>
  <c r="L43" i="1"/>
  <c r="L12" i="1"/>
  <c r="L46" i="1"/>
  <c r="L16" i="1"/>
  <c r="L76" i="1"/>
  <c r="L17" i="1"/>
  <c r="L53" i="1"/>
  <c r="L54" i="1"/>
  <c r="L116" i="1"/>
  <c r="L35" i="1"/>
  <c r="L72" i="1"/>
  <c r="L48" i="1"/>
  <c r="L106" i="1"/>
  <c r="L99" i="1"/>
  <c r="L100" i="1"/>
  <c r="L137" i="1"/>
  <c r="L49" i="1"/>
  <c r="L117" i="1"/>
  <c r="L15" i="1"/>
  <c r="L50" i="1"/>
  <c r="L112" i="1"/>
  <c r="L10" i="1"/>
  <c r="L98" i="1"/>
  <c r="L61" i="1"/>
  <c r="L114" i="1"/>
  <c r="L3" i="1"/>
  <c r="L103" i="1"/>
  <c r="L118" i="1"/>
  <c r="L148" i="1"/>
  <c r="L89" i="1"/>
  <c r="L81" i="1"/>
  <c r="L33" i="1"/>
  <c r="L21" i="1"/>
  <c r="L32" i="1"/>
  <c r="L136" i="1"/>
  <c r="L45" i="1"/>
  <c r="L128" i="1"/>
  <c r="L36" i="1"/>
  <c r="K111" i="1"/>
  <c r="K47" i="1"/>
  <c r="K138" i="1"/>
  <c r="K30" i="1"/>
  <c r="K34" i="1"/>
  <c r="K80" i="1"/>
  <c r="K22" i="1"/>
  <c r="K67" i="1"/>
  <c r="K110" i="1"/>
  <c r="K129" i="1"/>
  <c r="K79" i="1"/>
  <c r="K139" i="1"/>
  <c r="K62" i="1"/>
  <c r="K73" i="1"/>
  <c r="K83" i="1"/>
  <c r="K27" i="1"/>
  <c r="K140" i="1"/>
  <c r="K120" i="1"/>
  <c r="K104" i="1"/>
  <c r="K113" i="1"/>
  <c r="K63" i="1"/>
  <c r="K39" i="1"/>
  <c r="K135" i="1"/>
  <c r="K44" i="1"/>
  <c r="K28" i="1"/>
  <c r="K7" i="1"/>
  <c r="K41" i="1"/>
  <c r="K105" i="1"/>
  <c r="K145" i="1"/>
  <c r="K25" i="1"/>
  <c r="K88" i="1"/>
  <c r="K52" i="1"/>
  <c r="K119" i="1"/>
  <c r="K144" i="1"/>
  <c r="K40" i="1"/>
  <c r="K13" i="1"/>
  <c r="K8" i="1"/>
  <c r="K107" i="1"/>
  <c r="K77" i="1"/>
  <c r="K93" i="1"/>
  <c r="K85" i="1"/>
  <c r="K11" i="1"/>
  <c r="K131" i="1"/>
  <c r="K86" i="1"/>
  <c r="K56" i="1"/>
  <c r="K126" i="1"/>
  <c r="K75" i="1"/>
  <c r="K51" i="1"/>
  <c r="K132" i="1"/>
  <c r="K4" i="1"/>
  <c r="K95" i="1"/>
  <c r="K66" i="1"/>
  <c r="K20" i="1"/>
  <c r="K23" i="1"/>
  <c r="K24" i="1"/>
  <c r="K70" i="1"/>
  <c r="K124" i="1"/>
  <c r="K149" i="1"/>
  <c r="K122" i="1"/>
  <c r="K2" i="1"/>
  <c r="K123" i="1"/>
  <c r="K91" i="1"/>
  <c r="K115" i="1"/>
  <c r="K147" i="1"/>
  <c r="K130" i="1"/>
  <c r="K92" i="1"/>
  <c r="K19" i="1"/>
  <c r="K9" i="1"/>
  <c r="K141" i="1"/>
  <c r="K6" i="1"/>
  <c r="K26" i="1"/>
  <c r="K42" i="1"/>
  <c r="K5" i="1"/>
  <c r="K71" i="1"/>
  <c r="K57" i="1"/>
  <c r="K84" i="1"/>
  <c r="K121" i="1"/>
  <c r="K97" i="1"/>
  <c r="K87" i="1"/>
  <c r="K142" i="1"/>
  <c r="K102" i="1"/>
  <c r="K109" i="1"/>
  <c r="K151" i="1"/>
  <c r="K96" i="1"/>
  <c r="K55" i="1"/>
  <c r="K69" i="1"/>
  <c r="K150" i="1"/>
  <c r="K125" i="1"/>
  <c r="K31" i="1"/>
  <c r="K108" i="1"/>
  <c r="K82" i="1"/>
  <c r="K14" i="1"/>
  <c r="K64" i="1"/>
  <c r="K60" i="1"/>
  <c r="K127" i="1"/>
  <c r="K94" i="1"/>
  <c r="K133" i="1"/>
  <c r="K58" i="1"/>
  <c r="K74" i="1"/>
  <c r="K43" i="1"/>
  <c r="K12" i="1"/>
  <c r="K46" i="1"/>
  <c r="K16" i="1"/>
  <c r="K76" i="1"/>
  <c r="K17" i="1"/>
  <c r="K35" i="1"/>
  <c r="K72" i="1"/>
  <c r="K48" i="1"/>
  <c r="K106" i="1"/>
  <c r="K99" i="1"/>
  <c r="K100" i="1"/>
  <c r="K137" i="1"/>
  <c r="K49" i="1"/>
  <c r="K117" i="1"/>
  <c r="K15" i="1"/>
  <c r="K50" i="1"/>
  <c r="K112" i="1"/>
  <c r="K10" i="1"/>
  <c r="K98" i="1"/>
  <c r="K114" i="1"/>
  <c r="K103" i="1"/>
  <c r="K118" i="1"/>
  <c r="K89" i="1"/>
  <c r="K33" i="1"/>
  <c r="K21" i="1"/>
  <c r="K32" i="1"/>
  <c r="K136" i="1"/>
  <c r="K45" i="1"/>
  <c r="K128" i="1"/>
  <c r="K36" i="1"/>
  <c r="J111" i="1"/>
  <c r="K78" i="1" s="1"/>
  <c r="J47" i="1"/>
  <c r="K134" i="1" s="1"/>
  <c r="J138" i="1"/>
  <c r="J30" i="1"/>
  <c r="J34" i="1"/>
  <c r="J80" i="1"/>
  <c r="J22" i="1"/>
  <c r="J67" i="1"/>
  <c r="J110" i="1"/>
  <c r="J129" i="1"/>
  <c r="J79" i="1"/>
  <c r="J139" i="1"/>
  <c r="J62" i="1"/>
  <c r="J73" i="1"/>
  <c r="J83" i="1"/>
  <c r="J27" i="1"/>
  <c r="J140" i="1"/>
  <c r="J120" i="1"/>
  <c r="J104" i="1"/>
  <c r="J134" i="1"/>
  <c r="J113" i="1"/>
  <c r="J63" i="1"/>
  <c r="J39" i="1"/>
  <c r="J135" i="1"/>
  <c r="J44" i="1"/>
  <c r="J28" i="1"/>
  <c r="J7" i="1"/>
  <c r="J41" i="1"/>
  <c r="J105" i="1"/>
  <c r="J146" i="1"/>
  <c r="K146" i="1" s="1"/>
  <c r="J145" i="1"/>
  <c r="J25" i="1"/>
  <c r="J88" i="1"/>
  <c r="J52" i="1"/>
  <c r="J119" i="1"/>
  <c r="J144" i="1"/>
  <c r="J40" i="1"/>
  <c r="J13" i="1"/>
  <c r="J78" i="1"/>
  <c r="J8" i="1"/>
  <c r="J107" i="1"/>
  <c r="J77" i="1"/>
  <c r="J93" i="1"/>
  <c r="J85" i="1"/>
  <c r="J11" i="1"/>
  <c r="J131" i="1"/>
  <c r="J86" i="1"/>
  <c r="J56" i="1"/>
  <c r="J126" i="1"/>
  <c r="J75" i="1"/>
  <c r="J51" i="1"/>
  <c r="J132" i="1"/>
  <c r="J4" i="1"/>
  <c r="J95" i="1"/>
  <c r="J66" i="1"/>
  <c r="J29" i="1"/>
  <c r="J68" i="1"/>
  <c r="K68" i="1" s="1"/>
  <c r="J20" i="1"/>
  <c r="J23" i="1"/>
  <c r="J24" i="1"/>
  <c r="J70" i="1"/>
  <c r="J124" i="1"/>
  <c r="J149" i="1"/>
  <c r="J122" i="1"/>
  <c r="J37" i="1"/>
  <c r="K37" i="1" s="1"/>
  <c r="J2" i="1"/>
  <c r="J123" i="1"/>
  <c r="J91" i="1"/>
  <c r="J59" i="1"/>
  <c r="K59" i="1" s="1"/>
  <c r="J115" i="1"/>
  <c r="J147" i="1"/>
  <c r="J101" i="1"/>
  <c r="J38" i="1"/>
  <c r="K38" i="1" s="1"/>
  <c r="J143" i="1"/>
  <c r="K143" i="1" s="1"/>
  <c r="J130" i="1"/>
  <c r="J92" i="1"/>
  <c r="J19" i="1"/>
  <c r="J9" i="1"/>
  <c r="J90" i="1"/>
  <c r="J141" i="1"/>
  <c r="J6" i="1"/>
  <c r="J26" i="1"/>
  <c r="J42" i="1"/>
  <c r="J65" i="1"/>
  <c r="J5" i="1"/>
  <c r="J71" i="1"/>
  <c r="J57" i="1"/>
  <c r="J84" i="1"/>
  <c r="J121" i="1"/>
  <c r="J97" i="1"/>
  <c r="J87" i="1"/>
  <c r="J142" i="1"/>
  <c r="J102" i="1"/>
  <c r="J109" i="1"/>
  <c r="J151" i="1"/>
  <c r="J96" i="1"/>
  <c r="J55" i="1"/>
  <c r="J69" i="1"/>
  <c r="J18" i="1"/>
  <c r="J150" i="1"/>
  <c r="J125" i="1"/>
  <c r="J31" i="1"/>
  <c r="J108" i="1"/>
  <c r="J82" i="1"/>
  <c r="J14" i="1"/>
  <c r="J64" i="1"/>
  <c r="J60" i="1"/>
  <c r="J127" i="1"/>
  <c r="J94" i="1"/>
  <c r="J133" i="1"/>
  <c r="J58" i="1"/>
  <c r="J74" i="1"/>
  <c r="J43" i="1"/>
  <c r="J12" i="1"/>
  <c r="J46" i="1"/>
  <c r="J16" i="1"/>
  <c r="J76" i="1"/>
  <c r="J17" i="1"/>
  <c r="J53" i="1"/>
  <c r="J54" i="1"/>
  <c r="J116" i="1"/>
  <c r="K116" i="1" s="1"/>
  <c r="J35" i="1"/>
  <c r="J72" i="1"/>
  <c r="J48" i="1"/>
  <c r="J106" i="1"/>
  <c r="J99" i="1"/>
  <c r="J100" i="1"/>
  <c r="J137" i="1"/>
  <c r="J49" i="1"/>
  <c r="J117" i="1"/>
  <c r="J15" i="1"/>
  <c r="J50" i="1"/>
  <c r="J112" i="1"/>
  <c r="J10" i="1"/>
  <c r="J98" i="1"/>
  <c r="J61" i="1"/>
  <c r="J114" i="1"/>
  <c r="J3" i="1"/>
  <c r="K3" i="1" s="1"/>
  <c r="J103" i="1"/>
  <c r="J118" i="1"/>
  <c r="J148" i="1"/>
  <c r="K148" i="1" s="1"/>
  <c r="J89" i="1"/>
  <c r="J81" i="1"/>
  <c r="J33" i="1"/>
  <c r="J21" i="1"/>
  <c r="J32" i="1"/>
  <c r="J136" i="1"/>
  <c r="J45" i="1"/>
  <c r="J128" i="1"/>
  <c r="J36" i="1"/>
  <c r="N111" i="1" l="1"/>
  <c r="K61" i="1"/>
  <c r="K54" i="1"/>
  <c r="K65" i="1"/>
  <c r="K101" i="1"/>
  <c r="K29" i="1"/>
  <c r="K81" i="1"/>
  <c r="K53" i="1"/>
  <c r="K18" i="1"/>
  <c r="K90" i="1"/>
</calcChain>
</file>

<file path=xl/sharedStrings.xml><?xml version="1.0" encoding="utf-8"?>
<sst xmlns="http://schemas.openxmlformats.org/spreadsheetml/2006/main" count="1867" uniqueCount="375">
  <si>
    <t>Emp ID</t>
  </si>
  <si>
    <t>First_Name</t>
  </si>
  <si>
    <t>Last_Name</t>
  </si>
  <si>
    <t>Dept Code</t>
  </si>
  <si>
    <t>Hire Date</t>
  </si>
  <si>
    <t>Salary</t>
  </si>
  <si>
    <t>Perf_Score</t>
  </si>
  <si>
    <t>Employment Status</t>
  </si>
  <si>
    <t>EMP127</t>
  </si>
  <si>
    <t>Emily</t>
  </si>
  <si>
    <t>Brown</t>
  </si>
  <si>
    <t>IT02</t>
  </si>
  <si>
    <t>EMP046</t>
  </si>
  <si>
    <t>Richard</t>
  </si>
  <si>
    <t>Hernandez</t>
  </si>
  <si>
    <t>MKT04</t>
  </si>
  <si>
    <t>EMP134</t>
  </si>
  <si>
    <t>Gonzalez</t>
  </si>
  <si>
    <t>$114,425</t>
  </si>
  <si>
    <t>EMP139</t>
  </si>
  <si>
    <t>John</t>
  </si>
  <si>
    <t>Martinez</t>
  </si>
  <si>
    <t>FIN03</t>
  </si>
  <si>
    <t>EMP112</t>
  </si>
  <si>
    <t>Thomas</t>
  </si>
  <si>
    <t>Smith</t>
  </si>
  <si>
    <t>Left</t>
  </si>
  <si>
    <t>EMP030</t>
  </si>
  <si>
    <t>Johnson</t>
  </si>
  <si>
    <t>OPS06</t>
  </si>
  <si>
    <t>EMP096</t>
  </si>
  <si>
    <t>Wilson</t>
  </si>
  <si>
    <t>EMP098</t>
  </si>
  <si>
    <t>Jessica</t>
  </si>
  <si>
    <t>EMP095</t>
  </si>
  <si>
    <t>Rodriguez</t>
  </si>
  <si>
    <t>EMP140</t>
  </si>
  <si>
    <t>Michael</t>
  </si>
  <si>
    <t>SAL05</t>
  </si>
  <si>
    <t>Active</t>
  </si>
  <si>
    <t>EMP020</t>
  </si>
  <si>
    <t>Miller</t>
  </si>
  <si>
    <t>$118,635</t>
  </si>
  <si>
    <t>EMP057</t>
  </si>
  <si>
    <t>EMP016</t>
  </si>
  <si>
    <t>Jane</t>
  </si>
  <si>
    <t>Williams</t>
  </si>
  <si>
    <t>EMP070</t>
  </si>
  <si>
    <t>EMP025</t>
  </si>
  <si>
    <t>Robert</t>
  </si>
  <si>
    <t>Jones</t>
  </si>
  <si>
    <t>EMP031</t>
  </si>
  <si>
    <t>EMP126</t>
  </si>
  <si>
    <t>Davis</t>
  </si>
  <si>
    <t>EMP109</t>
  </si>
  <si>
    <t>James</t>
  </si>
  <si>
    <t>EMP066</t>
  </si>
  <si>
    <t>Ashley</t>
  </si>
  <si>
    <t>Lopez</t>
  </si>
  <si>
    <t>EMP120</t>
  </si>
  <si>
    <t>Amanda</t>
  </si>
  <si>
    <t>EMP019</t>
  </si>
  <si>
    <t>EMP013</t>
  </si>
  <si>
    <t>EMP010</t>
  </si>
  <si>
    <t>EMP032</t>
  </si>
  <si>
    <t>EMP082</t>
  </si>
  <si>
    <t>EMP052</t>
  </si>
  <si>
    <t>EMP129</t>
  </si>
  <si>
    <t>09/24/2019</t>
  </si>
  <si>
    <t>$77,610</t>
  </si>
  <si>
    <t>EMP146</t>
  </si>
  <si>
    <t>$50,873</t>
  </si>
  <si>
    <t>EMP099</t>
  </si>
  <si>
    <t>EMP015</t>
  </si>
  <si>
    <t>EMP076</t>
  </si>
  <si>
    <t>EMP137</t>
  </si>
  <si>
    <t>EMP056</t>
  </si>
  <si>
    <t>Sarah</t>
  </si>
  <si>
    <t>EMP125</t>
  </si>
  <si>
    <t>HR01</t>
  </si>
  <si>
    <t>EMP085</t>
  </si>
  <si>
    <t>EMP106</t>
  </si>
  <si>
    <t>EMP043</t>
  </si>
  <si>
    <t>EMP068</t>
  </si>
  <si>
    <t>Melissa</t>
  </si>
  <si>
    <t>06/29/2022</t>
  </si>
  <si>
    <t>EMP128</t>
  </si>
  <si>
    <t>EMP027</t>
  </si>
  <si>
    <t>09/09/2017</t>
  </si>
  <si>
    <t>EMP136</t>
  </si>
  <si>
    <t>EMP079</t>
  </si>
  <si>
    <t>David</t>
  </si>
  <si>
    <t>EMP149</t>
  </si>
  <si>
    <t>$66,606</t>
  </si>
  <si>
    <t>Resigned</t>
  </si>
  <si>
    <t>EMP037</t>
  </si>
  <si>
    <t>EMP077</t>
  </si>
  <si>
    <t>07/14/2016</t>
  </si>
  <si>
    <t>EMP023</t>
  </si>
  <si>
    <t>EMP133</t>
  </si>
  <si>
    <t>EMP141</t>
  </si>
  <si>
    <t>EMP012</t>
  </si>
  <si>
    <t>EMP080</t>
  </si>
  <si>
    <t>$75,023</t>
  </si>
  <si>
    <t>EMP069</t>
  </si>
  <si>
    <t>EMP150</t>
  </si>
  <si>
    <t>EMP028</t>
  </si>
  <si>
    <t>10/07/2019</t>
  </si>
  <si>
    <t>EMP087</t>
  </si>
  <si>
    <t>EMP119</t>
  </si>
  <si>
    <t>Garcia</t>
  </si>
  <si>
    <t>EMP042</t>
  </si>
  <si>
    <t>Anderson</t>
  </si>
  <si>
    <t>EMP005</t>
  </si>
  <si>
    <t>EMP033</t>
  </si>
  <si>
    <t>02/07/2018</t>
  </si>
  <si>
    <t>EMP061</t>
  </si>
  <si>
    <t>EMP102</t>
  </si>
  <si>
    <t>EMP067</t>
  </si>
  <si>
    <t>EMP017</t>
  </si>
  <si>
    <t>EMP123</t>
  </si>
  <si>
    <t>$75,519</t>
  </si>
  <si>
    <t>EMP011</t>
  </si>
  <si>
    <t>EMP091</t>
  </si>
  <si>
    <t>EMP145</t>
  </si>
  <si>
    <t>11/11/2016</t>
  </si>
  <si>
    <t>$50,936</t>
  </si>
  <si>
    <t>EMP001</t>
  </si>
  <si>
    <t>$111,240</t>
  </si>
  <si>
    <t>EMP113</t>
  </si>
  <si>
    <t>EMP065</t>
  </si>
  <si>
    <t>EMP045</t>
  </si>
  <si>
    <t>EMP083</t>
  </si>
  <si>
    <t>William</t>
  </si>
  <si>
    <t>EMP029</t>
  </si>
  <si>
    <t>EMP041</t>
  </si>
  <si>
    <t>EMP026</t>
  </si>
  <si>
    <t>EMP024</t>
  </si>
  <si>
    <t>EMP111</t>
  </si>
  <si>
    <t>EMP040</t>
  </si>
  <si>
    <t>02/19/2017</t>
  </si>
  <si>
    <t>$86,246</t>
  </si>
  <si>
    <t>EMP086</t>
  </si>
  <si>
    <t>09/07/2021</t>
  </si>
  <si>
    <t>EMP124</t>
  </si>
  <si>
    <t>EMP132</t>
  </si>
  <si>
    <t>EMP048</t>
  </si>
  <si>
    <t>09/29/2018</t>
  </si>
  <si>
    <t>$47,694</t>
  </si>
  <si>
    <t>EMP114</t>
  </si>
  <si>
    <t>EMP062</t>
  </si>
  <si>
    <t>EMP074</t>
  </si>
  <si>
    <t>EMP034</t>
  </si>
  <si>
    <t>10/04/2023</t>
  </si>
  <si>
    <t>EMP105</t>
  </si>
  <si>
    <t>EMP118</t>
  </si>
  <si>
    <t>EMP063</t>
  </si>
  <si>
    <t>EMP094</t>
  </si>
  <si>
    <t>$77,545</t>
  </si>
  <si>
    <t>EMP097</t>
  </si>
  <si>
    <t>EMP054</t>
  </si>
  <si>
    <t>EMP006</t>
  </si>
  <si>
    <t>EMP110</t>
  </si>
  <si>
    <t>$88,056</t>
  </si>
  <si>
    <t>EMP147</t>
  </si>
  <si>
    <t>EMP050</t>
  </si>
  <si>
    <t>$115,288</t>
  </si>
  <si>
    <t>EMP036</t>
  </si>
  <si>
    <t>EMP081</t>
  </si>
  <si>
    <t>EMP078</t>
  </si>
  <si>
    <t>EMP035</t>
  </si>
  <si>
    <t>03/08/2019</t>
  </si>
  <si>
    <t>EMP047</t>
  </si>
  <si>
    <t>EMP008</t>
  </si>
  <si>
    <t>EMP044</t>
  </si>
  <si>
    <t>$49,942</t>
  </si>
  <si>
    <t>EMP071</t>
  </si>
  <si>
    <t>EMP115</t>
  </si>
  <si>
    <t>EMP092</t>
  </si>
  <si>
    <t>05/22/2016</t>
  </si>
  <si>
    <t>EMP084</t>
  </si>
  <si>
    <t>EMP142</t>
  </si>
  <si>
    <t>EMP143</t>
  </si>
  <si>
    <t>$77,737</t>
  </si>
  <si>
    <t>EMP090</t>
  </si>
  <si>
    <t>$95,686</t>
  </si>
  <si>
    <t>EMP009</t>
  </si>
  <si>
    <t>EMP014</t>
  </si>
  <si>
    <t>$109,121</t>
  </si>
  <si>
    <t>EMP060</t>
  </si>
  <si>
    <t>$112,791</t>
  </si>
  <si>
    <t>EMP135</t>
  </si>
  <si>
    <t>EMP004</t>
  </si>
  <si>
    <t>07/10/2016</t>
  </si>
  <si>
    <t>EMP018</t>
  </si>
  <si>
    <t>EMP039</t>
  </si>
  <si>
    <t>05/10/2017</t>
  </si>
  <si>
    <t>EMP073</t>
  </si>
  <si>
    <t>EMP138</t>
  </si>
  <si>
    <t>04/20/2023</t>
  </si>
  <si>
    <t>EMP007</t>
  </si>
  <si>
    <t>EMP144</t>
  </si>
  <si>
    <t>EMP101</t>
  </si>
  <si>
    <t>EMP003</t>
  </si>
  <si>
    <t>EMP121</t>
  </si>
  <si>
    <t>$68,092</t>
  </si>
  <si>
    <t>EMP064</t>
  </si>
  <si>
    <t>EMP116</t>
  </si>
  <si>
    <t>EMP055</t>
  </si>
  <si>
    <t>EMP108</t>
  </si>
  <si>
    <t>EMP051</t>
  </si>
  <si>
    <t>EMP059</t>
  </si>
  <si>
    <t>EMP049</t>
  </si>
  <si>
    <t>$115,618</t>
  </si>
  <si>
    <t>EMP089</t>
  </si>
  <si>
    <t>05/11/2023</t>
  </si>
  <si>
    <t>$110,618</t>
  </si>
  <si>
    <t>EMP022</t>
  </si>
  <si>
    <t>EMP058</t>
  </si>
  <si>
    <t>EMP130</t>
  </si>
  <si>
    <t>08/29/2021</t>
  </si>
  <si>
    <t>EMP038</t>
  </si>
  <si>
    <t>$61,547</t>
  </si>
  <si>
    <t>EMP148</t>
  </si>
  <si>
    <t>EMP002</t>
  </si>
  <si>
    <t>EMP053</t>
  </si>
  <si>
    <t>10/22/2015</t>
  </si>
  <si>
    <t>EMP131</t>
  </si>
  <si>
    <t>EMP104</t>
  </si>
  <si>
    <t>EMP100</t>
  </si>
  <si>
    <t>EMP117</t>
  </si>
  <si>
    <t>$108,119</t>
  </si>
  <si>
    <t>EMP088</t>
  </si>
  <si>
    <t>EMP075</t>
  </si>
  <si>
    <t>EMP122</t>
  </si>
  <si>
    <t>01/12/2019</t>
  </si>
  <si>
    <t>EMP021</t>
  </si>
  <si>
    <t>EMP072</t>
  </si>
  <si>
    <t>EMP107</t>
  </si>
  <si>
    <t>EMP093</t>
  </si>
  <si>
    <t>EMP103</t>
  </si>
  <si>
    <t>$118,634</t>
  </si>
  <si>
    <t>Dept_Code</t>
  </si>
  <si>
    <t>Department_Name</t>
  </si>
  <si>
    <t>Human Resources</t>
  </si>
  <si>
    <t>Information Technology</t>
  </si>
  <si>
    <t>Finance</t>
  </si>
  <si>
    <t>Marketing</t>
  </si>
  <si>
    <t>Sales</t>
  </si>
  <si>
    <t>Operations</t>
  </si>
  <si>
    <t>Min_Score</t>
  </si>
  <si>
    <t>Max_Score</t>
  </si>
  <si>
    <t>Performance_Band</t>
  </si>
  <si>
    <t>Bonus_Percentage</t>
  </si>
  <si>
    <t>Needs Improvement</t>
  </si>
  <si>
    <t>Developing</t>
  </si>
  <si>
    <t>Achieving</t>
  </si>
  <si>
    <t>Exceeding</t>
  </si>
  <si>
    <t>Outstanding</t>
  </si>
  <si>
    <t>Column2</t>
  </si>
  <si>
    <t>DEPARTMENT</t>
  </si>
  <si>
    <t>SALARY2</t>
  </si>
  <si>
    <t>YEAR OF SERVICE</t>
  </si>
  <si>
    <t>perf band</t>
  </si>
  <si>
    <t>BONUS</t>
  </si>
  <si>
    <t>Row Labels</t>
  </si>
  <si>
    <t>(blank)</t>
  </si>
  <si>
    <t>Grand Total</t>
  </si>
  <si>
    <t>Average of SALARY2</t>
  </si>
  <si>
    <t>Column Labels</t>
  </si>
  <si>
    <t>Average of Perf_Score</t>
  </si>
  <si>
    <t>Count of BONUS</t>
  </si>
  <si>
    <t>Achiving</t>
  </si>
  <si>
    <t>Merge Names</t>
  </si>
  <si>
    <t>Total HeadCount by average salary per Dept.</t>
  </si>
  <si>
    <t>Department</t>
  </si>
  <si>
    <t>%Left Employee Vs Total Employee per Dept.</t>
  </si>
  <si>
    <t>column</t>
  </si>
  <si>
    <t>Average Performance Btw Active Employee And Left Employee</t>
  </si>
  <si>
    <t>DASHBOARD CREATION</t>
  </si>
  <si>
    <t>John Martinez</t>
  </si>
  <si>
    <t xml:space="preserve"> Rodriguez</t>
  </si>
  <si>
    <t>Michael Hernandez</t>
  </si>
  <si>
    <t>William Rodriguez</t>
  </si>
  <si>
    <t>Jessica Johnson</t>
  </si>
  <si>
    <t>Michael Wilson</t>
  </si>
  <si>
    <t>Emily Jones</t>
  </si>
  <si>
    <t>Richard Williams</t>
  </si>
  <si>
    <t>Thomas Rodriguez</t>
  </si>
  <si>
    <t>Melissa Johnson</t>
  </si>
  <si>
    <t>Jane Davis</t>
  </si>
  <si>
    <t>Thomas Williams</t>
  </si>
  <si>
    <t>David Williams</t>
  </si>
  <si>
    <t>Jane Martinez</t>
  </si>
  <si>
    <t>Emily Garcia</t>
  </si>
  <si>
    <t>David Martinez</t>
  </si>
  <si>
    <t>Michael Anderson</t>
  </si>
  <si>
    <t>David Anderson</t>
  </si>
  <si>
    <t>Melissa Williams</t>
  </si>
  <si>
    <t>Robert Miller</t>
  </si>
  <si>
    <t>Richard Smith</t>
  </si>
  <si>
    <t>James Johnson</t>
  </si>
  <si>
    <t>Emily Gonzalez</t>
  </si>
  <si>
    <t>Jessica Anderson</t>
  </si>
  <si>
    <t>Sarah Rodriguez</t>
  </si>
  <si>
    <t>Jessica Gonzalez</t>
  </si>
  <si>
    <t>Emily Brown</t>
  </si>
  <si>
    <t>Amanda Brown</t>
  </si>
  <si>
    <t>Emily Hernandez</t>
  </si>
  <si>
    <t>Emily Davis</t>
  </si>
  <si>
    <t>Amanda Gonzalez</t>
  </si>
  <si>
    <t>Michael Johnson</t>
  </si>
  <si>
    <t>Sarah Brown</t>
  </si>
  <si>
    <t xml:space="preserve"> Brown</t>
  </si>
  <si>
    <t xml:space="preserve"> Jones</t>
  </si>
  <si>
    <t>John Davis</t>
  </si>
  <si>
    <t>David Davis</t>
  </si>
  <si>
    <t>Jane Anderson</t>
  </si>
  <si>
    <t>William Williams</t>
  </si>
  <si>
    <t>Jane Rodriguez</t>
  </si>
  <si>
    <t>John Johnson</t>
  </si>
  <si>
    <t>Richard Gonzalez</t>
  </si>
  <si>
    <t>John Jones</t>
  </si>
  <si>
    <t>William Davis</t>
  </si>
  <si>
    <t>James Gonzalez</t>
  </si>
  <si>
    <t>James Jones</t>
  </si>
  <si>
    <t>Robert Martinez</t>
  </si>
  <si>
    <t>Thomas Miller</t>
  </si>
  <si>
    <t>David Rodriguez</t>
  </si>
  <si>
    <t>Richard Hernandez</t>
  </si>
  <si>
    <t>James Rodriguez</t>
  </si>
  <si>
    <t>Jane Williams</t>
  </si>
  <si>
    <t>Jane Miller</t>
  </si>
  <si>
    <t>Robert Jones</t>
  </si>
  <si>
    <t>Ashley Lopez</t>
  </si>
  <si>
    <t>Jane Garcia</t>
  </si>
  <si>
    <t>Thomas Jones</t>
  </si>
  <si>
    <t>William Jones</t>
  </si>
  <si>
    <t>Sarah Miller</t>
  </si>
  <si>
    <t>Melissa Gonzalez</t>
  </si>
  <si>
    <t>Emily Johnson</t>
  </si>
  <si>
    <t>Jessica Smith</t>
  </si>
  <si>
    <t>Thomas Hernandez</t>
  </si>
  <si>
    <t>John Wilson</t>
  </si>
  <si>
    <t>Sarah Gonzalez</t>
  </si>
  <si>
    <t>John Hernandez</t>
  </si>
  <si>
    <t>Thomas Lopez</t>
  </si>
  <si>
    <t>Thomas Garcia</t>
  </si>
  <si>
    <t>Robert Johnson</t>
  </si>
  <si>
    <t>David Wilson</t>
  </si>
  <si>
    <t>Jessica Garcia</t>
  </si>
  <si>
    <t>Melissa Anderson</t>
  </si>
  <si>
    <t>William Gonzalez</t>
  </si>
  <si>
    <t>Melissa Rodriguez</t>
  </si>
  <si>
    <t>John Smith</t>
  </si>
  <si>
    <t>Melissa Miller</t>
  </si>
  <si>
    <t>Michael Martinez</t>
  </si>
  <si>
    <t>Emily Miller</t>
  </si>
  <si>
    <t>James Martinez</t>
  </si>
  <si>
    <t>Ashley Williams</t>
  </si>
  <si>
    <t xml:space="preserve"> Williams</t>
  </si>
  <si>
    <t>John Rodriguez</t>
  </si>
  <si>
    <t>Melissa Brown</t>
  </si>
  <si>
    <t>David Hernandez</t>
  </si>
  <si>
    <t>Amanda Lopez</t>
  </si>
  <si>
    <t>James Wilson</t>
  </si>
  <si>
    <t>Emily Wilson</t>
  </si>
  <si>
    <t>Michael Miller</t>
  </si>
  <si>
    <t>William Garcia</t>
  </si>
  <si>
    <t>Jane Gonzalez</t>
  </si>
  <si>
    <t>Robert Williams</t>
  </si>
  <si>
    <t xml:space="preserve"> Smith</t>
  </si>
  <si>
    <t>Jane Johnson</t>
  </si>
  <si>
    <t>Sarah Wilson</t>
  </si>
  <si>
    <t>Details for column - Employment Status: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</si>
</sst>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b/>
      <sz val="11"/>
      <color rgb="FFC0000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6" xfId="0" applyFill="1" applyBorder="1"/>
    <xf numFmtId="0" fontId="0" fillId="3" borderId="7" xfId="0" applyFill="1" applyBorder="1"/>
    <xf numFmtId="0" fontId="2" fillId="2" borderId="8" xfId="0" applyFont="1" applyFill="1" applyBorder="1" applyAlignment="1">
      <alignment horizontal="center" vertical="top"/>
    </xf>
    <xf numFmtId="165" fontId="2" fillId="2" borderId="3" xfId="0" applyNumberFormat="1" applyFont="1" applyFill="1" applyBorder="1" applyAlignment="1">
      <alignment horizontal="right" vertical="top"/>
    </xf>
    <xf numFmtId="165" fontId="0" fillId="4" borderId="7" xfId="0" applyNumberFormat="1" applyFill="1" applyBorder="1" applyAlignment="1">
      <alignment horizontal="right"/>
    </xf>
    <xf numFmtId="165" fontId="0" fillId="3" borderId="7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64" fontId="2" fillId="2" borderId="3" xfId="0" applyNumberFormat="1" applyFont="1" applyFill="1" applyBorder="1" applyAlignment="1">
      <alignment horizontal="right" vertical="top"/>
    </xf>
    <xf numFmtId="164" fontId="0" fillId="4" borderId="7" xfId="0" applyNumberFormat="1" applyFill="1" applyBorder="1" applyAlignment="1">
      <alignment horizontal="right"/>
    </xf>
    <xf numFmtId="164" fontId="0" fillId="3" borderId="7" xfId="0" applyNumberFormat="1" applyFill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2" xfId="0" applyFill="1" applyBorder="1"/>
    <xf numFmtId="0" fontId="0" fillId="4" borderId="5" xfId="0" applyFill="1" applyBorder="1"/>
    <xf numFmtId="164" fontId="0" fillId="4" borderId="5" xfId="0" applyNumberFormat="1" applyFill="1" applyBorder="1" applyAlignment="1">
      <alignment horizontal="right"/>
    </xf>
    <xf numFmtId="165" fontId="0" fillId="4" borderId="5" xfId="0" applyNumberForma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0" fillId="4" borderId="5" xfId="0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4" fillId="0" borderId="1" xfId="0" applyFont="1" applyBorder="1"/>
    <xf numFmtId="14" fontId="0" fillId="0" borderId="0" xfId="0" applyNumberFormat="1"/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31">
    <dxf>
      <numFmt numFmtId="19" formatCode="m/d/yyyy"/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auto="1"/>
        </top>
        <bottom/>
        <vertical/>
        <horizontal/>
      </border>
    </dxf>
    <dxf>
      <numFmt numFmtId="165" formatCode="&quot;$&quot;#,##0"/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</dxf>
    <dxf>
      <numFmt numFmtId="164" formatCode="m/d/yy;@"/>
      <alignment horizontal="right" textRotation="0" wrapText="0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25</xdr:row>
      <xdr:rowOff>66675</xdr:rowOff>
    </xdr:from>
    <xdr:to>
      <xdr:col>9</xdr:col>
      <xdr:colOff>19050</xdr:colOff>
      <xdr:row>42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C2BC7F-01F8-283E-3634-56B87B4A3431}"/>
            </a:ext>
          </a:extLst>
        </xdr:cNvPr>
        <xdr:cNvSpPr/>
      </xdr:nvSpPr>
      <xdr:spPr>
        <a:xfrm>
          <a:off x="38100" y="4876800"/>
          <a:ext cx="9496425" cy="3276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857250</xdr:colOff>
      <xdr:row>31</xdr:row>
      <xdr:rowOff>180975</xdr:rowOff>
    </xdr:from>
    <xdr:to>
      <xdr:col>1</xdr:col>
      <xdr:colOff>1333500</xdr:colOff>
      <xdr:row>36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79CA739-A48E-7C56-DE50-DD4C3BFF741C}"/>
            </a:ext>
          </a:extLst>
        </xdr:cNvPr>
        <xdr:cNvSpPr/>
      </xdr:nvSpPr>
      <xdr:spPr>
        <a:xfrm>
          <a:off x="857250" y="6134100"/>
          <a:ext cx="1866900" cy="9239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BBBBBBNNBNN</a:t>
          </a:r>
        </a:p>
      </xdr:txBody>
    </xdr:sp>
    <xdr:clientData/>
  </xdr:twoCellAnchor>
  <xdr:oneCellAnchor>
    <xdr:from>
      <xdr:col>0</xdr:col>
      <xdr:colOff>1057274</xdr:colOff>
      <xdr:row>32</xdr:row>
      <xdr:rowOff>104774</xdr:rowOff>
    </xdr:from>
    <xdr:ext cx="1381125" cy="8191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13029E-0F07-84B5-5E0C-94E98C977CE0}"/>
            </a:ext>
          </a:extLst>
        </xdr:cNvPr>
        <xdr:cNvSpPr txBox="1"/>
      </xdr:nvSpPr>
      <xdr:spPr>
        <a:xfrm>
          <a:off x="1057274" y="6248399"/>
          <a:ext cx="1381125" cy="819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 b="1">
              <a:solidFill>
                <a:schemeClr val="tx2"/>
              </a:solidFill>
              <a:latin typeface="Arial Black" panose="020B0A04020102090204" pitchFamily="34" charset="0"/>
            </a:rPr>
            <a:t>    Total</a:t>
          </a:r>
          <a:r>
            <a:rPr lang="en-US" sz="900" b="1" baseline="0">
              <a:solidFill>
                <a:schemeClr val="tx2"/>
              </a:solidFill>
              <a:latin typeface="Arial Black" panose="020B0A04020102090204" pitchFamily="34" charset="0"/>
            </a:rPr>
            <a:t> Employees</a:t>
          </a:r>
        </a:p>
        <a:p>
          <a:endParaRPr lang="en-US" sz="1200" b="1" baseline="0">
            <a:solidFill>
              <a:schemeClr val="tx2"/>
            </a:solidFill>
          </a:endParaRPr>
        </a:p>
        <a:p>
          <a:r>
            <a:rPr lang="en-US" sz="1200" b="1" baseline="0">
              <a:solidFill>
                <a:schemeClr val="tx2"/>
              </a:solidFill>
            </a:rPr>
            <a:t>        </a:t>
          </a:r>
          <a:r>
            <a:rPr lang="en-US" sz="1200" b="1">
              <a:solidFill>
                <a:schemeClr val="tx2"/>
              </a:solidFill>
            </a:rPr>
            <a:t> </a:t>
          </a:r>
          <a:r>
            <a:rPr lang="en-US" sz="1100" b="1" i="0" u="none" strike="noStrike">
              <a:solidFill>
                <a:schemeClr val="accent2"/>
              </a:solidFill>
              <a:effectLst/>
              <a:latin typeface="Arial Black" panose="020B0A04020102090204" pitchFamily="34" charset="0"/>
              <a:ea typeface="+mn-ea"/>
              <a:cs typeface="+mn-cs"/>
            </a:rPr>
            <a:t>82.86%</a:t>
          </a:r>
          <a:r>
            <a:rPr lang="en-US" sz="1200" b="1">
              <a:solidFill>
                <a:schemeClr val="accent2"/>
              </a:solidFill>
              <a:effectLst/>
              <a:latin typeface="Arial Black" panose="020B0A04020102090204" pitchFamily="34" charset="0"/>
            </a:rPr>
            <a:t> </a:t>
          </a:r>
          <a:endParaRPr lang="en-US" sz="1200" b="1">
            <a:solidFill>
              <a:schemeClr val="accent2"/>
            </a:solidFill>
            <a:latin typeface="Arial Black" panose="020B0A04020102090204" pitchFamily="34" charset="0"/>
          </a:endParaRPr>
        </a:p>
      </xdr:txBody>
    </xdr:sp>
    <xdr:clientData/>
  </xdr:oneCellAnchor>
  <xdr:twoCellAnchor>
    <xdr:from>
      <xdr:col>2</xdr:col>
      <xdr:colOff>600075</xdr:colOff>
      <xdr:row>31</xdr:row>
      <xdr:rowOff>133351</xdr:rowOff>
    </xdr:from>
    <xdr:to>
      <xdr:col>4</xdr:col>
      <xdr:colOff>1095375</xdr:colOff>
      <xdr:row>36</xdr:row>
      <xdr:rowOff>114301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37B85D5-A9FE-44B0-AF88-18911ED91054}"/>
            </a:ext>
          </a:extLst>
        </xdr:cNvPr>
        <xdr:cNvSpPr/>
      </xdr:nvSpPr>
      <xdr:spPr>
        <a:xfrm>
          <a:off x="3848100" y="6086476"/>
          <a:ext cx="1866900" cy="9334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BBBBBBNNBNN</a:t>
          </a:r>
        </a:p>
      </xdr:txBody>
    </xdr:sp>
    <xdr:clientData/>
  </xdr:twoCellAnchor>
  <xdr:twoCellAnchor>
    <xdr:from>
      <xdr:col>5</xdr:col>
      <xdr:colOff>781050</xdr:colOff>
      <xdr:row>31</xdr:row>
      <xdr:rowOff>142876</xdr:rowOff>
    </xdr:from>
    <xdr:to>
      <xdr:col>8</xdr:col>
      <xdr:colOff>514350</xdr:colOff>
      <xdr:row>36</xdr:row>
      <xdr:rowOff>104776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2E5641-3AB2-4DA7-8950-ADF1EB897155}"/>
            </a:ext>
          </a:extLst>
        </xdr:cNvPr>
        <xdr:cNvSpPr/>
      </xdr:nvSpPr>
      <xdr:spPr>
        <a:xfrm>
          <a:off x="6858000" y="6096001"/>
          <a:ext cx="1866900" cy="914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BBBBBBNNBNN</a:t>
          </a:r>
        </a:p>
      </xdr:txBody>
    </xdr:sp>
    <xdr:clientData/>
  </xdr:twoCellAnchor>
  <xdr:oneCellAnchor>
    <xdr:from>
      <xdr:col>3</xdr:col>
      <xdr:colOff>47625</xdr:colOff>
      <xdr:row>32</xdr:row>
      <xdr:rowOff>47625</xdr:rowOff>
    </xdr:from>
    <xdr:ext cx="1353191" cy="7239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5330F2-543C-89A3-6A93-A4FE1EBADAC9}"/>
            </a:ext>
          </a:extLst>
        </xdr:cNvPr>
        <xdr:cNvSpPr txBox="1"/>
      </xdr:nvSpPr>
      <xdr:spPr>
        <a:xfrm>
          <a:off x="4095750" y="6191250"/>
          <a:ext cx="1353191" cy="723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>
              <a:solidFill>
                <a:srgbClr val="002060"/>
              </a:solidFill>
              <a:latin typeface="Arial Black" panose="020B0A04020102090204" pitchFamily="34" charset="0"/>
            </a:rPr>
            <a:t>Average Salary</a:t>
          </a:r>
        </a:p>
        <a:p>
          <a:endParaRPr lang="en-US" sz="1100" b="1">
            <a:solidFill>
              <a:srgbClr val="002060"/>
            </a:solidFill>
            <a:latin typeface="Arial Black" panose="020B0A04020102090204" pitchFamily="34" charset="0"/>
          </a:endParaRP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 i="0" u="none" strike="noStrike">
              <a:solidFill>
                <a:srgbClr val="C00000"/>
              </a:solidFill>
              <a:effectLst/>
              <a:latin typeface="Arial Black" panose="020B0A04020102090204" pitchFamily="34" charset="0"/>
              <a:ea typeface="+mn-ea"/>
              <a:cs typeface="+mn-cs"/>
            </a:rPr>
            <a:t>82621.13889</a:t>
          </a:r>
          <a:r>
            <a:rPr lang="en-US" b="1">
              <a:solidFill>
                <a:srgbClr val="C00000"/>
              </a:solidFill>
              <a:effectLst/>
              <a:latin typeface="Arial Black" panose="020B0A04020102090204" pitchFamily="34" charset="0"/>
            </a:rPr>
            <a:t> </a:t>
          </a:r>
          <a:endParaRPr lang="en-US" sz="1100" b="1">
            <a:solidFill>
              <a:srgbClr val="C00000"/>
            </a:solidFill>
            <a:latin typeface="Arial Black" panose="020B0A04020102090204" pitchFamily="34" charset="0"/>
          </a:endParaRPr>
        </a:p>
        <a:p>
          <a:endParaRPr lang="en-US" sz="1100" b="1">
            <a:solidFill>
              <a:srgbClr val="002060"/>
            </a:solidFill>
            <a:latin typeface="Arial Black" panose="020B0A04020102090204" pitchFamily="34" charset="0"/>
          </a:endParaRPr>
        </a:p>
      </xdr:txBody>
    </xdr:sp>
    <xdr:clientData/>
  </xdr:oneCellAnchor>
  <xdr:oneCellAnchor>
    <xdr:from>
      <xdr:col>5</xdr:col>
      <xdr:colOff>838200</xdr:colOff>
      <xdr:row>32</xdr:row>
      <xdr:rowOff>57149</xdr:rowOff>
    </xdr:from>
    <xdr:ext cx="1831463" cy="71437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C08214-0C86-4BFD-A60D-7328FE456C5E}"/>
            </a:ext>
          </a:extLst>
        </xdr:cNvPr>
        <xdr:cNvSpPr txBox="1"/>
      </xdr:nvSpPr>
      <xdr:spPr>
        <a:xfrm>
          <a:off x="6915150" y="6200774"/>
          <a:ext cx="1831463" cy="7143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>
              <a:solidFill>
                <a:srgbClr val="002060"/>
              </a:solidFill>
              <a:latin typeface="Arial Black" panose="020B0A04020102090204" pitchFamily="34" charset="0"/>
            </a:rPr>
            <a:t>Overall</a:t>
          </a:r>
          <a:r>
            <a:rPr lang="en-US" sz="1100" b="1" baseline="0">
              <a:solidFill>
                <a:srgbClr val="002060"/>
              </a:solidFill>
              <a:latin typeface="Arial Black" panose="020B0A04020102090204" pitchFamily="34" charset="0"/>
            </a:rPr>
            <a:t> Attrition Rate</a:t>
          </a:r>
        </a:p>
        <a:p>
          <a:endParaRPr lang="en-US" sz="1100" b="1" baseline="0">
            <a:solidFill>
              <a:srgbClr val="002060"/>
            </a:solidFill>
            <a:latin typeface="Arial Black" panose="020B0A04020102090204" pitchFamily="34" charset="0"/>
          </a:endParaRPr>
        </a:p>
        <a:p>
          <a:r>
            <a:rPr lang="en-US" sz="1100" b="1" baseline="0">
              <a:solidFill>
                <a:srgbClr val="002060"/>
              </a:solidFill>
              <a:latin typeface="Arial Black" panose="020B0A04020102090204" pitchFamily="34" charset="0"/>
            </a:rPr>
            <a:t>     </a:t>
          </a:r>
          <a:r>
            <a:rPr lang="en-US" sz="1100" b="1" baseline="0">
              <a:solidFill>
                <a:srgbClr val="C00000"/>
              </a:solidFill>
              <a:latin typeface="Arial Black" panose="020B0A04020102090204" pitchFamily="34" charset="0"/>
            </a:rPr>
            <a:t>67.56034483</a:t>
          </a:r>
          <a:endParaRPr lang="en-US" sz="1100" b="1">
            <a:solidFill>
              <a:srgbClr val="C00000"/>
            </a:solidFill>
            <a:latin typeface="Arial Black" panose="020B0A0402010209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18.611620370371" createdVersion="8" refreshedVersion="8" minRefreshableVersion="3" recordCount="157" xr:uid="{E1006D7D-3CAF-40FA-9E07-337F7C8D9AA9}">
  <cacheSource type="worksheet">
    <worksheetSource name="Table1"/>
  </cacheSource>
  <cacheFields count="14">
    <cacheField name="Emp ID" numFmtId="0">
      <sharedItems containsBlank="1" count="151">
        <s v="EMP127"/>
        <s v="EMP046"/>
        <s v="EMP134"/>
        <s v="EMP139"/>
        <s v="EMP112"/>
        <s v="EMP030"/>
        <s v="EMP096"/>
        <s v="EMP098"/>
        <s v="EMP095"/>
        <s v="EMP140"/>
        <s v="EMP020"/>
        <s v="EMP057"/>
        <s v="EMP016"/>
        <s v="EMP070"/>
        <s v="EMP025"/>
        <s v="EMP031"/>
        <s v="EMP126"/>
        <s v="EMP109"/>
        <s v="EMP066"/>
        <s v="EMP120"/>
        <s v="EMP019"/>
        <s v="EMP013"/>
        <s v="EMP010"/>
        <s v="EMP032"/>
        <s v="EMP082"/>
        <s v="EMP052"/>
        <s v="EMP129"/>
        <s v="EMP146"/>
        <s v="EMP099"/>
        <s v="EMP015"/>
        <s v="EMP076"/>
        <s v="EMP137"/>
        <s v="EMP056"/>
        <s v="EMP125"/>
        <s v="EMP085"/>
        <s v="EMP106"/>
        <s v="EMP043"/>
        <s v="EMP068"/>
        <s v="EMP128"/>
        <s v="EMP027"/>
        <s v="EMP136"/>
        <s v="EMP079"/>
        <s v="EMP149"/>
        <s v="EMP037"/>
        <s v="EMP077"/>
        <s v="EMP023"/>
        <s v="EMP133"/>
        <s v="EMP141"/>
        <s v="EMP012"/>
        <s v="EMP080"/>
        <s v="EMP069"/>
        <s v="EMP150"/>
        <s v="EMP028"/>
        <s v="EMP087"/>
        <s v="EMP119"/>
        <s v="EMP042"/>
        <s v="EMP005"/>
        <s v="EMP033"/>
        <s v="EMP061"/>
        <s v="EMP102"/>
        <s v="EMP067"/>
        <s v="EMP017"/>
        <s v="EMP123"/>
        <s v="EMP011"/>
        <s v="EMP091"/>
        <s v="EMP145"/>
        <s v="EMP001"/>
        <s v="EMP113"/>
        <s v="EMP065"/>
        <s v="EMP045"/>
        <s v="EMP083"/>
        <s v="EMP029"/>
        <s v="EMP041"/>
        <s v="EMP026"/>
        <s v="EMP024"/>
        <s v="EMP111"/>
        <s v="EMP040"/>
        <s v="EMP086"/>
        <s v="EMP124"/>
        <s v="EMP132"/>
        <s v="EMP048"/>
        <s v="EMP114"/>
        <s v="EMP062"/>
        <s v="EMP074"/>
        <s v="EMP034"/>
        <s v="EMP105"/>
        <s v="EMP118"/>
        <s v="EMP063"/>
        <s v="EMP094"/>
        <s v="EMP097"/>
        <s v="EMP054"/>
        <s v="EMP006"/>
        <s v="EMP110"/>
        <s v="EMP147"/>
        <s v="EMP050"/>
        <s v="EMP036"/>
        <s v="EMP081"/>
        <s v="EMP078"/>
        <s v="EMP035"/>
        <s v="EMP047"/>
        <s v="EMP008"/>
        <s v="EMP044"/>
        <s v="EMP071"/>
        <s v="EMP115"/>
        <s v="EMP092"/>
        <s v="EMP084"/>
        <s v="EMP142"/>
        <s v="EMP143"/>
        <s v="EMP090"/>
        <s v="EMP009"/>
        <s v="EMP014"/>
        <s v="EMP060"/>
        <s v="EMP135"/>
        <s v="EMP004"/>
        <s v="EMP018"/>
        <s v="EMP039"/>
        <s v="EMP073"/>
        <s v="EMP138"/>
        <s v="EMP007"/>
        <s v="EMP144"/>
        <s v="EMP101"/>
        <s v="EMP003"/>
        <s v="EMP121"/>
        <s v="EMP064"/>
        <s v="EMP116"/>
        <s v="EMP055"/>
        <s v="EMP108"/>
        <s v="EMP051"/>
        <s v="EMP059"/>
        <s v="EMP049"/>
        <s v="EMP089"/>
        <s v="EMP022"/>
        <s v="EMP058"/>
        <s v="EMP130"/>
        <s v="EMP038"/>
        <s v="EMP148"/>
        <s v="EMP002"/>
        <s v="EMP053"/>
        <s v="EMP131"/>
        <s v="EMP104"/>
        <s v="EMP100"/>
        <s v="EMP117"/>
        <s v="EMP088"/>
        <s v="EMP075"/>
        <s v="EMP122"/>
        <s v="EMP021"/>
        <s v="EMP072"/>
        <s v="EMP107"/>
        <s v="EMP093"/>
        <s v="EMP103"/>
        <m/>
      </sharedItems>
    </cacheField>
    <cacheField name="First_Name" numFmtId="0">
      <sharedItems containsBlank="1"/>
    </cacheField>
    <cacheField name="Last_Name" numFmtId="0">
      <sharedItems containsBlank="1"/>
    </cacheField>
    <cacheField name="Column2" numFmtId="0">
      <sharedItems/>
    </cacheField>
    <cacheField name="Dept Code" numFmtId="0">
      <sharedItems containsBlank="1"/>
    </cacheField>
    <cacheField name="Hire Date" numFmtId="164">
      <sharedItems containsDate="1" containsBlank="1" containsMixedTypes="1" minDate="2015-01-04T00:00:00" maxDate="2023-12-13T00:00:00"/>
    </cacheField>
    <cacheField name="Salary" numFmtId="0">
      <sharedItems containsBlank="1" containsMixedTypes="1" containsNumber="1" minValue="45196" maxValue="118947"/>
    </cacheField>
    <cacheField name="Perf_Score" numFmtId="0">
      <sharedItems containsSemiMixedTypes="0" containsString="0" containsNumber="1" containsInteger="1" minValue="30" maxValue="99"/>
    </cacheField>
    <cacheField name="Employment Status" numFmtId="0">
      <sharedItems containsBlank="1" count="4">
        <s v="Active"/>
        <s v="Left"/>
        <s v="Resigned"/>
        <m/>
      </sharedItems>
    </cacheField>
    <cacheField name="DEPARTMENT" numFmtId="0">
      <sharedItems containsBlank="1" count="7">
        <s v="Information Technology"/>
        <s v="Marketing"/>
        <s v="Finance"/>
        <s v="Operations"/>
        <s v="Sales"/>
        <s v="Human Resources"/>
        <m/>
      </sharedItems>
    </cacheField>
    <cacheField name="SALARY2" numFmtId="165">
      <sharedItems containsBlank="1" containsMixedTypes="1" containsNumber="1" minValue="45196" maxValue="118947" count="137">
        <n v="50361"/>
        <n v="112673"/>
        <s v="$114,425"/>
        <n v="103831"/>
        <n v="73785"/>
        <n v="115882"/>
        <n v="59980"/>
        <n v="68728"/>
        <n v="102139"/>
        <n v="94998"/>
        <s v="$118,635"/>
        <n v="76918"/>
        <n v="61408"/>
        <n v="99990"/>
        <n v="80385"/>
        <n v="65290"/>
        <n v="105765"/>
        <n v="102921"/>
        <n v="73984"/>
        <n v="79893.409090909088"/>
        <n v="118527"/>
        <n v="107871"/>
        <n v="93956"/>
        <n v="100851"/>
        <n v="68655"/>
        <n v="81205"/>
        <s v="$77,610"/>
        <s v="$50,873"/>
        <n v="85312"/>
        <n v="81083.352941176476"/>
        <n v="97055"/>
        <n v="66069"/>
        <n v="90157"/>
        <n v="59899"/>
        <n v="113389"/>
        <n v="102691"/>
        <n v="111845"/>
        <n v="69219"/>
        <n v="87938.5"/>
        <n v="57514"/>
        <n v="86245"/>
        <n v="52407"/>
        <s v="$66,606"/>
        <n v="81896"/>
        <n v="78402"/>
        <n v="105498"/>
        <n v="91749"/>
        <n v="99935"/>
        <n v="83531"/>
        <s v="$75,023"/>
        <n v="93290"/>
        <n v="115527"/>
        <n v="55920"/>
        <n v="80189"/>
        <n v="118947"/>
        <n v="77933.083333333328"/>
        <n v="91655"/>
        <n v="49435"/>
        <n v="110381"/>
        <n v="114748"/>
        <n v="63302"/>
        <s v="$75,519"/>
        <n v="103891"/>
        <s v="$50,936"/>
        <s v="$111,240"/>
        <n v="51567"/>
        <n v="88223.692307692312"/>
        <n v="55270"/>
        <n v="65235"/>
        <n v="48823"/>
        <n v="45196"/>
        <s v="$86,246"/>
        <n v="70359"/>
        <n v="86693.133333333331"/>
        <n v="86480"/>
        <s v="$47,694"/>
        <n v="83724"/>
        <n v="98299"/>
        <n v="52287"/>
        <n v="82633"/>
        <n v="46508"/>
        <n v="86232"/>
        <s v="$77,545"/>
        <n v="68683"/>
        <n v="83932"/>
        <n v="56073"/>
        <s v="$88,056"/>
        <n v="67414"/>
        <s v="$115,288"/>
        <n v="80140"/>
        <n v="73087"/>
        <n v="95292"/>
        <n v="101750"/>
        <n v="82992"/>
        <s v="$49,942"/>
        <n v="89060"/>
        <n v="53786"/>
        <n v="81167"/>
        <n v="66688"/>
        <n v="91672"/>
        <s v="$77,737"/>
        <s v="$95,686"/>
        <n v="114681"/>
        <s v="$109,121"/>
        <s v="$112,791"/>
        <n v="118008"/>
        <n v="74370"/>
        <n v="77819"/>
        <n v="48748"/>
        <n v="101997"/>
        <n v="115260"/>
        <n v="60623"/>
        <s v="$68,092"/>
        <n v="88155"/>
        <n v="107903"/>
        <n v="62818"/>
        <n v="85151"/>
        <n v="46390"/>
        <n v="111920"/>
        <s v="$115,618"/>
        <s v="$110,618"/>
        <n v="108395"/>
        <n v="88005"/>
        <n v="83007"/>
        <s v="$61,547"/>
        <n v="50399"/>
        <n v="52720"/>
        <n v="65065"/>
        <s v="$108,119"/>
        <n v="106896"/>
        <n v="112887"/>
        <n v="85457"/>
        <n v="62798"/>
        <n v="47794"/>
        <n v="93094"/>
        <s v="$118,634"/>
        <m/>
      </sharedItems>
    </cacheField>
    <cacheField name="YEAR OF SERVICE" numFmtId="0">
      <sharedItems containsString="0" containsBlank="1" containsNumber="1" minValue="2.59" maxValue="11.53"/>
    </cacheField>
    <cacheField name="perf band" numFmtId="0">
      <sharedItems count="5">
        <s v="Developing"/>
        <s v="Achiving"/>
        <s v="Needs Improvement"/>
        <s v="Exceeding"/>
        <s v="Outstanding"/>
      </sharedItems>
    </cacheField>
    <cacheField name="BONUS" numFmtId="0">
      <sharedItems containsBlank="1" count="2"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s v="Emily"/>
    <s v="Brown"/>
    <s v="Emily Brown"/>
    <s v="IT02"/>
    <d v="2017-12-24T00:00:00"/>
    <n v="50361"/>
    <n v="52"/>
    <x v="0"/>
    <x v="0"/>
    <x v="0"/>
    <n v="8.56"/>
    <x v="0"/>
    <x v="0"/>
  </r>
  <r>
    <x v="1"/>
    <s v="Richard"/>
    <s v="Hernandez"/>
    <s v="Richard Hernandez"/>
    <s v="MKT04"/>
    <d v="2022-04-08T00:00:00"/>
    <n v="112673"/>
    <n v="65"/>
    <x v="0"/>
    <x v="1"/>
    <x v="1"/>
    <n v="4.2699999999999996"/>
    <x v="0"/>
    <x v="1"/>
  </r>
  <r>
    <x v="2"/>
    <s v="Emily"/>
    <s v="Gonzalez"/>
    <s v="Emily Gonzalez"/>
    <s v="IT02"/>
    <d v="2016-03-02T00:00:00"/>
    <s v="$114,425"/>
    <n v="54"/>
    <x v="1"/>
    <x v="0"/>
    <x v="2"/>
    <n v="10.37"/>
    <x v="0"/>
    <x v="1"/>
  </r>
  <r>
    <x v="3"/>
    <s v="John"/>
    <s v="Martinez"/>
    <s v="John Martinez"/>
    <s v="FIN03"/>
    <d v="2023-07-03T00:00:00"/>
    <n v="103831"/>
    <n v="70"/>
    <x v="0"/>
    <x v="2"/>
    <x v="3"/>
    <n v="3.03"/>
    <x v="1"/>
    <x v="1"/>
  </r>
  <r>
    <x v="4"/>
    <s v="Thomas"/>
    <s v="Smith"/>
    <s v="Thomas Smith"/>
    <s v="IT02"/>
    <d v="2023-02-20T00:00:00"/>
    <n v="73785"/>
    <n v="40"/>
    <x v="1"/>
    <x v="0"/>
    <x v="4"/>
    <n v="3.4"/>
    <x v="2"/>
    <x v="1"/>
  </r>
  <r>
    <x v="5"/>
    <s v="Emily"/>
    <s v="Johnson"/>
    <s v="Emily Johnson"/>
    <s v="OPS06"/>
    <d v="2020-03-02T00:00:00"/>
    <n v="115882"/>
    <n v="49"/>
    <x v="0"/>
    <x v="3"/>
    <x v="5"/>
    <n v="6.37"/>
    <x v="2"/>
    <x v="1"/>
  </r>
  <r>
    <x v="6"/>
    <s v="John"/>
    <s v="Wilson"/>
    <s v="John Wilson"/>
    <s v="OPS06"/>
    <d v="2023-12-12T00:00:00"/>
    <n v="59980"/>
    <n v="70"/>
    <x v="1"/>
    <x v="3"/>
    <x v="6"/>
    <n v="2.59"/>
    <x v="1"/>
    <x v="1"/>
  </r>
  <r>
    <x v="7"/>
    <s v="Jessica"/>
    <s v="Smith"/>
    <s v="Jessica Smith"/>
    <s v="OPS06"/>
    <d v="2020-12-09T00:00:00"/>
    <n v="68728"/>
    <n v="45"/>
    <x v="0"/>
    <x v="3"/>
    <x v="7"/>
    <n v="5.6"/>
    <x v="2"/>
    <x v="1"/>
  </r>
  <r>
    <x v="8"/>
    <m/>
    <s v="Rodriguez"/>
    <s v=" Rodriguez"/>
    <s v="FIN03"/>
    <d v="2018-01-07T00:00:00"/>
    <n v="102139"/>
    <n v="79"/>
    <x v="0"/>
    <x v="2"/>
    <x v="8"/>
    <n v="8.52"/>
    <x v="1"/>
    <x v="1"/>
  </r>
  <r>
    <x v="9"/>
    <s v="Michael"/>
    <s v="Martinez"/>
    <s v="Michael Martinez"/>
    <s v="SAL05"/>
    <d v="2016-11-02T00:00:00"/>
    <n v="94998"/>
    <n v="58"/>
    <x v="0"/>
    <x v="4"/>
    <x v="9"/>
    <n v="9.6999999999999993"/>
    <x v="0"/>
    <x v="1"/>
  </r>
  <r>
    <x v="10"/>
    <s v="Emily"/>
    <s v="Miller"/>
    <s v="Emily Miller"/>
    <s v="SAL05"/>
    <d v="2020-03-21T00:00:00"/>
    <s v="$118,635"/>
    <n v="49"/>
    <x v="0"/>
    <x v="4"/>
    <x v="10"/>
    <n v="6.32"/>
    <x v="2"/>
    <x v="1"/>
  </r>
  <r>
    <x v="11"/>
    <s v="Emily"/>
    <s v="Hernandez"/>
    <s v="Emily Hernandez"/>
    <s v="IT02"/>
    <d v="2016-02-25T00:00:00"/>
    <n v="76918"/>
    <n v="62"/>
    <x v="0"/>
    <x v="0"/>
    <x v="11"/>
    <n v="10.39"/>
    <x v="0"/>
    <x v="1"/>
  </r>
  <r>
    <x v="12"/>
    <s v="Jane"/>
    <s v="Williams"/>
    <s v="Jane Williams"/>
    <s v="MKT04"/>
    <d v="2021-06-17T00:00:00"/>
    <n v="61408"/>
    <n v="48"/>
    <x v="0"/>
    <x v="1"/>
    <x v="12"/>
    <n v="5.08"/>
    <x v="2"/>
    <x v="1"/>
  </r>
  <r>
    <x v="13"/>
    <s v="Jane"/>
    <s v="Miller"/>
    <s v="Jane Miller"/>
    <s v="MKT04"/>
    <d v="2020-06-19T00:00:00"/>
    <n v="99990"/>
    <n v="54"/>
    <x v="0"/>
    <x v="1"/>
    <x v="13"/>
    <n v="6.07"/>
    <x v="0"/>
    <x v="1"/>
  </r>
  <r>
    <x v="14"/>
    <s v="Robert"/>
    <s v="Jones"/>
    <s v="Robert Jones"/>
    <s v="MKT04"/>
    <d v="2019-12-21T00:00:00"/>
    <n v="80385"/>
    <n v="65"/>
    <x v="0"/>
    <x v="1"/>
    <x v="14"/>
    <n v="6.57"/>
    <x v="0"/>
    <x v="1"/>
  </r>
  <r>
    <x v="15"/>
    <s v="Thomas"/>
    <s v="Rodriguez"/>
    <s v="Thomas Rodriguez"/>
    <s v="SAL05"/>
    <d v="2023-08-31T00:00:00"/>
    <n v="65290"/>
    <n v="77"/>
    <x v="0"/>
    <x v="4"/>
    <x v="15"/>
    <n v="2.88"/>
    <x v="1"/>
    <x v="1"/>
  </r>
  <r>
    <x v="16"/>
    <s v="Emily"/>
    <s v="Davis"/>
    <s v="Emily Davis"/>
    <s v="IT02"/>
    <d v="2015-11-29T00:00:00"/>
    <n v="105765"/>
    <n v="42"/>
    <x v="0"/>
    <x v="0"/>
    <x v="16"/>
    <n v="10.63"/>
    <x v="2"/>
    <x v="1"/>
  </r>
  <r>
    <x v="17"/>
    <s v="James"/>
    <s v="Martinez"/>
    <s v="James Martinez"/>
    <s v="SAL05"/>
    <d v="2017-06-13T00:00:00"/>
    <n v="102921"/>
    <n v="49"/>
    <x v="0"/>
    <x v="4"/>
    <x v="17"/>
    <n v="9.09"/>
    <x v="2"/>
    <x v="1"/>
  </r>
  <r>
    <x v="18"/>
    <s v="Ashley"/>
    <s v="Lopez"/>
    <s v="Ashley Lopez"/>
    <s v="MKT04"/>
    <d v="2018-05-15T00:00:00"/>
    <n v="73984"/>
    <n v="93"/>
    <x v="0"/>
    <x v="1"/>
    <x v="18"/>
    <n v="8.17"/>
    <x v="3"/>
    <x v="1"/>
  </r>
  <r>
    <x v="19"/>
    <s v="Amanda"/>
    <s v="Gonzalez"/>
    <s v="Amanda Gonzalez"/>
    <s v="IT02"/>
    <d v="2016-07-24T00:00:00"/>
    <n v="79893.409090909088"/>
    <n v="75"/>
    <x v="0"/>
    <x v="0"/>
    <x v="19"/>
    <n v="9.98"/>
    <x v="1"/>
    <x v="1"/>
  </r>
  <r>
    <x v="20"/>
    <s v="Michael"/>
    <s v="Hernandez"/>
    <s v="Michael Hernandez"/>
    <s v="FIN03"/>
    <d v="2017-12-07T00:00:00"/>
    <n v="118527"/>
    <n v="50"/>
    <x v="0"/>
    <x v="2"/>
    <x v="20"/>
    <n v="8.61"/>
    <x v="0"/>
    <x v="1"/>
  </r>
  <r>
    <x v="21"/>
    <s v="Richard"/>
    <s v="Hernandez"/>
    <s v="Richard Hernandez"/>
    <s v="MKT04"/>
    <d v="2021-06-06T00:00:00"/>
    <n v="107871"/>
    <n v="88"/>
    <x v="0"/>
    <x v="1"/>
    <x v="21"/>
    <n v="5.1100000000000003"/>
    <x v="3"/>
    <x v="1"/>
  </r>
  <r>
    <x v="22"/>
    <s v="Michael"/>
    <s v="Rodriguez"/>
    <s v="Michael Rodriguez"/>
    <s v="IT02"/>
    <d v="2022-09-11T00:00:00"/>
    <n v="93956"/>
    <n v="50"/>
    <x v="1"/>
    <x v="0"/>
    <x v="22"/>
    <n v="3.84"/>
    <x v="0"/>
    <x v="1"/>
  </r>
  <r>
    <x v="23"/>
    <s v="Jessica"/>
    <s v="Johnson"/>
    <s v="Jessica Johnson"/>
    <s v="FIN03"/>
    <d v="2016-07-14T00:00:00"/>
    <n v="100851"/>
    <n v="64"/>
    <x v="0"/>
    <x v="2"/>
    <x v="23"/>
    <n v="10"/>
    <x v="0"/>
    <x v="1"/>
  </r>
  <r>
    <x v="24"/>
    <s v="Ashley"/>
    <s v="Williams"/>
    <s v="Ashley Williams"/>
    <s v="SAL05"/>
    <d v="2022-06-16T00:00:00"/>
    <n v="68655"/>
    <n v="32"/>
    <x v="0"/>
    <x v="4"/>
    <x v="24"/>
    <n v="4.08"/>
    <x v="2"/>
    <x v="1"/>
  </r>
  <r>
    <x v="25"/>
    <m/>
    <s v="Williams"/>
    <s v=" Williams"/>
    <s v="SAL05"/>
    <d v="2023-07-27T00:00:00"/>
    <n v="81205"/>
    <n v="59"/>
    <x v="0"/>
    <x v="4"/>
    <x v="25"/>
    <n v="2.97"/>
    <x v="0"/>
    <x v="1"/>
  </r>
  <r>
    <x v="26"/>
    <s v="John"/>
    <s v="Wilson"/>
    <s v="John Wilson"/>
    <s v="SAL05"/>
    <s v="09/24/2019"/>
    <s v="$77,610"/>
    <n v="88"/>
    <x v="0"/>
    <x v="4"/>
    <x v="26"/>
    <n v="6.81"/>
    <x v="3"/>
    <x v="1"/>
  </r>
  <r>
    <x v="27"/>
    <s v="Thomas"/>
    <s v="Rodriguez"/>
    <s v="Thomas Rodriguez"/>
    <s v="IT02"/>
    <d v="2022-07-23T00:00:00"/>
    <s v="$50,873"/>
    <n v="90"/>
    <x v="0"/>
    <x v="0"/>
    <x v="27"/>
    <n v="3.98"/>
    <x v="3"/>
    <x v="1"/>
  </r>
  <r>
    <x v="28"/>
    <s v="Michael"/>
    <s v="Wilson"/>
    <s v="Michael Wilson"/>
    <s v="FIN03"/>
    <d v="2018-05-13T00:00:00"/>
    <n v="85312"/>
    <n v="66"/>
    <x v="0"/>
    <x v="2"/>
    <x v="28"/>
    <n v="8.17"/>
    <x v="0"/>
    <x v="1"/>
  </r>
  <r>
    <x v="29"/>
    <s v="John"/>
    <s v="Rodriguez"/>
    <s v="John Rodriguez"/>
    <s v="SAL05"/>
    <d v="2015-07-17T00:00:00"/>
    <n v="81083.352941176476"/>
    <n v="68"/>
    <x v="0"/>
    <x v="4"/>
    <x v="29"/>
    <n v="10.99"/>
    <x v="0"/>
    <x v="1"/>
  </r>
  <r>
    <x v="30"/>
    <s v="Thomas"/>
    <s v="Hernandez"/>
    <s v="Thomas Hernandez"/>
    <s v="OPS06"/>
    <d v="2015-08-05T00:00:00"/>
    <n v="97055"/>
    <n v="80"/>
    <x v="0"/>
    <x v="3"/>
    <x v="30"/>
    <n v="10.94"/>
    <x v="1"/>
    <x v="1"/>
  </r>
  <r>
    <x v="31"/>
    <s v="Michael"/>
    <s v="Johnson"/>
    <s v="Michael Johnson"/>
    <s v="IT02"/>
    <d v="2023-09-26T00:00:00"/>
    <n v="66069"/>
    <n v="72"/>
    <x v="0"/>
    <x v="0"/>
    <x v="31"/>
    <n v="2.8"/>
    <x v="1"/>
    <x v="1"/>
  </r>
  <r>
    <x v="32"/>
    <s v="Sarah"/>
    <s v="Brown"/>
    <s v="Sarah Brown"/>
    <s v="IT02"/>
    <d v="2019-06-10T00:00:00"/>
    <n v="90157"/>
    <n v="58"/>
    <x v="0"/>
    <x v="0"/>
    <x v="32"/>
    <n v="7.1"/>
    <x v="0"/>
    <x v="1"/>
  </r>
  <r>
    <x v="33"/>
    <s v="Jane"/>
    <s v="Martinez"/>
    <s v="Jane Martinez"/>
    <s v="HR01"/>
    <d v="2022-01-17T00:00:00"/>
    <n v="59899"/>
    <n v="78"/>
    <x v="0"/>
    <x v="5"/>
    <x v="33"/>
    <n v="4.49"/>
    <x v="1"/>
    <x v="1"/>
  </r>
  <r>
    <x v="34"/>
    <s v="Emily"/>
    <s v="Jones"/>
    <s v="Emily Jones"/>
    <s v="FIN03"/>
    <d v="2017-07-03T00:00:00"/>
    <n v="113389"/>
    <n v="30"/>
    <x v="0"/>
    <x v="2"/>
    <x v="34"/>
    <n v="9.0299999999999994"/>
    <x v="2"/>
    <x v="1"/>
  </r>
  <r>
    <x v="35"/>
    <m/>
    <s v="Brown"/>
    <s v=" Brown"/>
    <s v="IT02"/>
    <d v="2015-09-01T00:00:00"/>
    <n v="102691"/>
    <n v="52"/>
    <x v="0"/>
    <x v="0"/>
    <x v="35"/>
    <n v="10.87"/>
    <x v="0"/>
    <x v="1"/>
  </r>
  <r>
    <x v="36"/>
    <s v="John"/>
    <s v="Wilson"/>
    <s v="John Wilson"/>
    <s v="OPS06"/>
    <d v="2022-08-03T00:00:00"/>
    <n v="111845"/>
    <n v="98"/>
    <x v="0"/>
    <x v="3"/>
    <x v="36"/>
    <n v="3.95"/>
    <x v="4"/>
    <x v="1"/>
  </r>
  <r>
    <x v="37"/>
    <s v="Melissa"/>
    <s v="Brown"/>
    <s v="Melissa Brown"/>
    <s v="SAL05"/>
    <s v="06/29/2022"/>
    <n v="69219"/>
    <n v="93"/>
    <x v="0"/>
    <x v="4"/>
    <x v="37"/>
    <n v="4.04"/>
    <x v="3"/>
    <x v="1"/>
  </r>
  <r>
    <x v="38"/>
    <s v="Michael"/>
    <s v="Smith"/>
    <s v="Michael Smith"/>
    <s v="FIN03"/>
    <d v="2020-04-28T00:00:00"/>
    <n v="87938.5"/>
    <n v="80"/>
    <x v="1"/>
    <x v="2"/>
    <x v="38"/>
    <n v="6.21"/>
    <x v="1"/>
    <x v="1"/>
  </r>
  <r>
    <x v="39"/>
    <s v="Sarah"/>
    <s v="Miller"/>
    <s v="Sarah Miller"/>
    <s v="OPS06"/>
    <s v="09/09/2017"/>
    <n v="57514"/>
    <n v="65"/>
    <x v="0"/>
    <x v="3"/>
    <x v="39"/>
    <n v="8.85"/>
    <x v="0"/>
    <x v="1"/>
  </r>
  <r>
    <x v="40"/>
    <s v="Emily"/>
    <s v="Wilson"/>
    <s v="Emily Wilson"/>
    <s v="SAL05"/>
    <d v="2018-03-22T00:00:00"/>
    <n v="86245"/>
    <n v="71"/>
    <x v="1"/>
    <x v="4"/>
    <x v="40"/>
    <n v="8.31"/>
    <x v="1"/>
    <x v="1"/>
  </r>
  <r>
    <x v="41"/>
    <s v="David"/>
    <s v="Hernandez"/>
    <s v="David Hernandez"/>
    <s v="SAL05"/>
    <d v="2020-05-07T00:00:00"/>
    <n v="52407"/>
    <n v="55"/>
    <x v="0"/>
    <x v="4"/>
    <x v="41"/>
    <n v="6.19"/>
    <x v="0"/>
    <x v="1"/>
  </r>
  <r>
    <x v="42"/>
    <s v="James"/>
    <s v="Smith"/>
    <s v="James Smith"/>
    <s v="OPS06"/>
    <d v="2019-03-25T00:00:00"/>
    <s v="$66,606"/>
    <n v="93"/>
    <x v="2"/>
    <x v="3"/>
    <x v="42"/>
    <n v="7.31"/>
    <x v="3"/>
    <x v="1"/>
  </r>
  <r>
    <x v="43"/>
    <s v="Sarah"/>
    <s v="Williams"/>
    <s v="Sarah Williams"/>
    <s v="IT02"/>
    <d v="2019-08-09T00:00:00"/>
    <n v="81896"/>
    <n v="79"/>
    <x v="2"/>
    <x v="0"/>
    <x v="43"/>
    <n v="6.93"/>
    <x v="1"/>
    <x v="1"/>
  </r>
  <r>
    <x v="44"/>
    <s v="Amanda"/>
    <s v="Lopez"/>
    <s v="Amanda Lopez"/>
    <s v="SAL05"/>
    <s v="07/14/2016"/>
    <n v="78402"/>
    <n v="54"/>
    <x v="0"/>
    <x v="4"/>
    <x v="44"/>
    <n v="10"/>
    <x v="0"/>
    <x v="1"/>
  </r>
  <r>
    <x v="45"/>
    <s v="Thomas"/>
    <s v="Lopez"/>
    <s v="Thomas Lopez"/>
    <s v="OPS06"/>
    <d v="2016-10-04T00:00:00"/>
    <n v="105498"/>
    <n v="76"/>
    <x v="0"/>
    <x v="3"/>
    <x v="45"/>
    <n v="9.7799999999999994"/>
    <x v="1"/>
    <x v="1"/>
  </r>
  <r>
    <x v="46"/>
    <s v="Melissa"/>
    <s v="Johnson"/>
    <s v="Melissa Johnson"/>
    <s v="MKT04"/>
    <d v="2019-07-10T00:00:00"/>
    <n v="91749"/>
    <n v="72"/>
    <x v="1"/>
    <x v="1"/>
    <x v="46"/>
    <n v="7.01"/>
    <x v="1"/>
    <x v="1"/>
  </r>
  <r>
    <x v="47"/>
    <s v="Amanda"/>
    <s v="Johnson"/>
    <s v="Amanda Johnson"/>
    <s v="OPS06"/>
    <d v="2021-08-29T00:00:00"/>
    <n v="99935"/>
    <n v="84"/>
    <x v="2"/>
    <x v="3"/>
    <x v="47"/>
    <n v="4.88"/>
    <x v="1"/>
    <x v="1"/>
  </r>
  <r>
    <x v="48"/>
    <s v="John"/>
    <s v="Davis"/>
    <s v="John Davis"/>
    <s v="IT02"/>
    <d v="2017-01-26T00:00:00"/>
    <n v="83531"/>
    <n v="30"/>
    <x v="1"/>
    <x v="0"/>
    <x v="48"/>
    <n v="9.4700000000000006"/>
    <x v="2"/>
    <x v="1"/>
  </r>
  <r>
    <x v="49"/>
    <s v="James"/>
    <s v="Johnson"/>
    <s v="James Johnson"/>
    <s v="MKT04"/>
    <d v="2020-05-30T00:00:00"/>
    <s v="$75,023"/>
    <n v="65"/>
    <x v="0"/>
    <x v="1"/>
    <x v="49"/>
    <n v="6.13"/>
    <x v="0"/>
    <x v="1"/>
  </r>
  <r>
    <x v="50"/>
    <s v="Jane"/>
    <s v="Davis"/>
    <s v="Jane Davis"/>
    <s v="HR01"/>
    <d v="2022-02-20T00:00:00"/>
    <n v="93290"/>
    <n v="53"/>
    <x v="0"/>
    <x v="5"/>
    <x v="50"/>
    <n v="4.4000000000000004"/>
    <x v="0"/>
    <x v="1"/>
  </r>
  <r>
    <x v="51"/>
    <s v="Richard"/>
    <s v="Davis"/>
    <s v="Richard Davis"/>
    <s v="OPS06"/>
    <d v="2016-09-15T00:00:00"/>
    <n v="115527"/>
    <n v="63"/>
    <x v="2"/>
    <x v="3"/>
    <x v="51"/>
    <n v="9.83"/>
    <x v="0"/>
    <x v="1"/>
  </r>
  <r>
    <x v="52"/>
    <s v="Thomas"/>
    <s v="Rodriguez"/>
    <s v="Thomas Rodriguez"/>
    <s v="FIN03"/>
    <s v="10/07/2019"/>
    <n v="55920"/>
    <n v="84"/>
    <x v="0"/>
    <x v="2"/>
    <x v="52"/>
    <n v="6.77"/>
    <x v="1"/>
    <x v="1"/>
  </r>
  <r>
    <x v="53"/>
    <s v="Emily"/>
    <s v="Johnson"/>
    <s v="Emily Johnson"/>
    <s v="SAL05"/>
    <d v="2018-12-30T00:00:00"/>
    <n v="80189"/>
    <n v="30"/>
    <x v="0"/>
    <x v="4"/>
    <x v="53"/>
    <n v="7.54"/>
    <x v="2"/>
    <x v="1"/>
  </r>
  <r>
    <x v="54"/>
    <s v="Emily"/>
    <s v="Garcia"/>
    <s v="Emily Garcia"/>
    <s v="HR01"/>
    <d v="2020-12-24T00:00:00"/>
    <n v="118947"/>
    <n v="96"/>
    <x v="0"/>
    <x v="5"/>
    <x v="54"/>
    <n v="5.56"/>
    <x v="4"/>
    <x v="1"/>
  </r>
  <r>
    <x v="55"/>
    <s v="Jane"/>
    <s v="Anderson"/>
    <s v="Jane Anderson"/>
    <s v="IT02"/>
    <d v="2023-07-05T00:00:00"/>
    <n v="79893.409090909088"/>
    <n v="54"/>
    <x v="0"/>
    <x v="0"/>
    <x v="19"/>
    <n v="3.03"/>
    <x v="0"/>
    <x v="1"/>
  </r>
  <r>
    <x v="56"/>
    <s v="Thomas"/>
    <s v="Garcia"/>
    <s v="Thomas Garcia"/>
    <s v="OPS06"/>
    <d v="2020-11-13T00:00:00"/>
    <n v="77933.083333333328"/>
    <n v="75"/>
    <x v="0"/>
    <x v="3"/>
    <x v="55"/>
    <n v="5.67"/>
    <x v="1"/>
    <x v="1"/>
  </r>
  <r>
    <x v="57"/>
    <s v="David"/>
    <s v="Martinez"/>
    <s v="David Martinez"/>
    <s v="HR01"/>
    <s v="02/07/2018"/>
    <n v="91655"/>
    <n v="95"/>
    <x v="0"/>
    <x v="5"/>
    <x v="56"/>
    <n v="8.44"/>
    <x v="4"/>
    <x v="1"/>
  </r>
  <r>
    <x v="58"/>
    <s v="Emily"/>
    <s v="Brown"/>
    <s v="Emily Brown"/>
    <s v="IT02"/>
    <d v="2023-11-25T00:00:00"/>
    <n v="49435"/>
    <n v="65"/>
    <x v="1"/>
    <x v="0"/>
    <x v="57"/>
    <n v="2.64"/>
    <x v="0"/>
    <x v="1"/>
  </r>
  <r>
    <x v="59"/>
    <s v="Emily"/>
    <s v="Wilson"/>
    <s v="Emily Wilson"/>
    <s v="SAL05"/>
    <d v="2023-10-18T00:00:00"/>
    <n v="110381"/>
    <n v="93"/>
    <x v="0"/>
    <x v="4"/>
    <x v="58"/>
    <n v="2.74"/>
    <x v="3"/>
    <x v="1"/>
  </r>
  <r>
    <x v="60"/>
    <s v="Michael"/>
    <s v="Anderson"/>
    <s v="Michael Anderson"/>
    <s v="HR01"/>
    <d v="2020-09-05T00:00:00"/>
    <n v="114748"/>
    <n v="33"/>
    <x v="0"/>
    <x v="5"/>
    <x v="59"/>
    <n v="5.86"/>
    <x v="2"/>
    <x v="1"/>
  </r>
  <r>
    <x v="61"/>
    <s v="Robert"/>
    <s v="Johnson"/>
    <s v="Robert Johnson"/>
    <s v="OPS06"/>
    <d v="2017-03-06T00:00:00"/>
    <n v="63302"/>
    <n v="91"/>
    <x v="0"/>
    <x v="3"/>
    <x v="60"/>
    <n v="9.36"/>
    <x v="3"/>
    <x v="1"/>
  </r>
  <r>
    <x v="62"/>
    <s v="Robert"/>
    <s v="Miller"/>
    <s v="Robert Miller"/>
    <s v="IT02"/>
    <d v="2015-04-28T00:00:00"/>
    <s v="$75,519"/>
    <n v="64"/>
    <x v="0"/>
    <x v="0"/>
    <x v="61"/>
    <n v="11.21"/>
    <x v="0"/>
    <x v="1"/>
  </r>
  <r>
    <x v="63"/>
    <s v="Jane"/>
    <s v="Davis"/>
    <s v="Jane Davis"/>
    <s v="FIN03"/>
    <d v="2017-04-13T00:00:00"/>
    <n v="103891"/>
    <n v="80"/>
    <x v="0"/>
    <x v="2"/>
    <x v="62"/>
    <n v="9.26"/>
    <x v="1"/>
    <x v="1"/>
  </r>
  <r>
    <x v="64"/>
    <s v="Thomas"/>
    <s v="Davis"/>
    <s v="Thomas Davis"/>
    <s v="OPS06"/>
    <d v="2022-09-23T00:00:00"/>
    <n v="77933.083333333328"/>
    <n v="46"/>
    <x v="1"/>
    <x v="3"/>
    <x v="55"/>
    <n v="3.81"/>
    <x v="2"/>
    <x v="1"/>
  </r>
  <r>
    <x v="65"/>
    <s v="Thomas"/>
    <s v="Jones"/>
    <s v="Thomas Jones"/>
    <s v="MKT04"/>
    <s v="11/11/2016"/>
    <s v="$50,936"/>
    <n v="99"/>
    <x v="0"/>
    <x v="1"/>
    <x v="63"/>
    <n v="9.68"/>
    <x v="4"/>
    <x v="1"/>
  </r>
  <r>
    <x v="66"/>
    <s v="Michael"/>
    <s v="Miller"/>
    <s v="Michael Miller"/>
    <s v="SAL05"/>
    <d v="2017-03-24T00:00:00"/>
    <s v="$111,240"/>
    <n v="65"/>
    <x v="0"/>
    <x v="4"/>
    <x v="64"/>
    <n v="9.31"/>
    <x v="0"/>
    <x v="1"/>
  </r>
  <r>
    <x v="67"/>
    <s v="Richard"/>
    <s v="Gonzalez"/>
    <s v="Richard Gonzalez"/>
    <s v="HR01"/>
    <d v="2019-05-05T00:00:00"/>
    <n v="51567"/>
    <n v="87"/>
    <x v="2"/>
    <x v="5"/>
    <x v="65"/>
    <n v="7.19"/>
    <x v="3"/>
    <x v="1"/>
  </r>
  <r>
    <x v="68"/>
    <s v="Melissa"/>
    <s v="Williams"/>
    <s v="Melissa Williams"/>
    <s v="HR01"/>
    <d v="2021-07-25T00:00:00"/>
    <n v="88223.692307692312"/>
    <n v="36"/>
    <x v="0"/>
    <x v="5"/>
    <x v="66"/>
    <n v="4.97"/>
    <x v="2"/>
    <x v="1"/>
  </r>
  <r>
    <x v="69"/>
    <s v="Robert"/>
    <s v="Miller"/>
    <s v="Robert Miller"/>
    <s v="HR01"/>
    <d v="2017-09-30T00:00:00"/>
    <n v="55270"/>
    <n v="87"/>
    <x v="0"/>
    <x v="5"/>
    <x v="67"/>
    <n v="8.7899999999999991"/>
    <x v="3"/>
    <x v="1"/>
  </r>
  <r>
    <x v="70"/>
    <s v="William"/>
    <s v="Garcia"/>
    <s v="William Garcia"/>
    <s v="SAL05"/>
    <d v="2015-07-07T00:00:00"/>
    <n v="65235"/>
    <n v="97"/>
    <x v="0"/>
    <x v="4"/>
    <x v="68"/>
    <n v="11.02"/>
    <x v="4"/>
    <x v="1"/>
  </r>
  <r>
    <x v="71"/>
    <s v="John"/>
    <s v="Gonzalez"/>
    <s v="John Gonzalez"/>
    <s v="SAL05"/>
    <d v="2018-07-02T00:00:00"/>
    <n v="81083.352941176476"/>
    <n v="72"/>
    <x v="1"/>
    <x v="4"/>
    <x v="29"/>
    <n v="8.0399999999999991"/>
    <x v="1"/>
    <x v="1"/>
  </r>
  <r>
    <x v="72"/>
    <s v="James"/>
    <s v="Gonzalez"/>
    <s v="James Gonzalez"/>
    <s v="SAL05"/>
    <d v="2022-09-15T00:00:00"/>
    <n v="81083.352941176476"/>
    <n v="65"/>
    <x v="1"/>
    <x v="4"/>
    <x v="29"/>
    <n v="3.83"/>
    <x v="0"/>
    <x v="1"/>
  </r>
  <r>
    <x v="73"/>
    <s v="Jane"/>
    <s v="Gonzalez"/>
    <s v="Jane Gonzalez"/>
    <s v="SAL05"/>
    <d v="2015-09-02T00:00:00"/>
    <n v="81083.352941176476"/>
    <n v="67"/>
    <x v="0"/>
    <x v="4"/>
    <x v="29"/>
    <n v="10.87"/>
    <x v="0"/>
    <x v="1"/>
  </r>
  <r>
    <x v="74"/>
    <s v="David"/>
    <s v="Wilson"/>
    <s v="David Wilson"/>
    <s v="OPS06"/>
    <d v="2016-10-11T00:00:00"/>
    <n v="48823"/>
    <n v="34"/>
    <x v="0"/>
    <x v="3"/>
    <x v="69"/>
    <n v="9.76"/>
    <x v="2"/>
    <x v="1"/>
  </r>
  <r>
    <x v="75"/>
    <s v="Jane"/>
    <s v="Gonzalez"/>
    <s v="Jane Gonzalez"/>
    <s v="FIN03"/>
    <d v="2019-04-20T00:00:00"/>
    <n v="45196"/>
    <n v="78"/>
    <x v="1"/>
    <x v="2"/>
    <x v="70"/>
    <n v="7.24"/>
    <x v="1"/>
    <x v="1"/>
  </r>
  <r>
    <x v="76"/>
    <s v="Jane"/>
    <s v="Rodriguez"/>
    <s v="Jane Rodriguez"/>
    <s v="IT02"/>
    <s v="02/19/2017"/>
    <s v="$86,246"/>
    <n v="61"/>
    <x v="0"/>
    <x v="0"/>
    <x v="71"/>
    <n v="9.41"/>
    <x v="0"/>
    <x v="1"/>
  </r>
  <r>
    <x v="77"/>
    <s v="Emily"/>
    <s v="Miller"/>
    <s v="Emily Miller"/>
    <s v="SAL05"/>
    <s v="09/07/2021"/>
    <n v="70359"/>
    <n v="74"/>
    <x v="1"/>
    <x v="4"/>
    <x v="72"/>
    <n v="4.8600000000000003"/>
    <x v="1"/>
    <x v="1"/>
  </r>
  <r>
    <x v="78"/>
    <s v="Sarah"/>
    <s v="Miller"/>
    <s v="Sarah Miller"/>
    <s v="MKT04"/>
    <d v="2019-05-14T00:00:00"/>
    <n v="86693.133333333331"/>
    <n v="94"/>
    <x v="0"/>
    <x v="1"/>
    <x v="73"/>
    <n v="7.17"/>
    <x v="3"/>
    <x v="1"/>
  </r>
  <r>
    <x v="79"/>
    <s v="Jessica"/>
    <s v="Garcia"/>
    <s v="Jessica Garcia"/>
    <s v="OPS06"/>
    <d v="2015-11-22T00:00:00"/>
    <n v="86480"/>
    <n v="65"/>
    <x v="0"/>
    <x v="3"/>
    <x v="74"/>
    <n v="10.65"/>
    <x v="0"/>
    <x v="1"/>
  </r>
  <r>
    <x v="80"/>
    <s v="Richard"/>
    <s v="Smith"/>
    <s v="Richard Smith"/>
    <s v="HR01"/>
    <s v="09/29/2018"/>
    <s v="$47,694"/>
    <n v="75"/>
    <x v="0"/>
    <x v="5"/>
    <x v="75"/>
    <n v="7.79"/>
    <x v="1"/>
    <x v="1"/>
  </r>
  <r>
    <x v="81"/>
    <s v="Melissa"/>
    <s v="Wilson"/>
    <s v="Melissa Wilson"/>
    <s v="IT02"/>
    <d v="2023-09-02T00:00:00"/>
    <n v="83724"/>
    <n v="81"/>
    <x v="2"/>
    <x v="0"/>
    <x v="76"/>
    <n v="2.87"/>
    <x v="1"/>
    <x v="1"/>
  </r>
  <r>
    <x v="82"/>
    <s v="Thomas"/>
    <s v="Williams"/>
    <s v="Thomas Williams"/>
    <s v="FIN03"/>
    <d v="2022-07-17T00:00:00"/>
    <n v="98299"/>
    <n v="61"/>
    <x v="0"/>
    <x v="2"/>
    <x v="77"/>
    <n v="3.99"/>
    <x v="0"/>
    <x v="1"/>
  </r>
  <r>
    <x v="83"/>
    <s v="David"/>
    <s v="Williams"/>
    <s v="David Williams"/>
    <s v="FIN03"/>
    <d v="2021-02-07T00:00:00"/>
    <n v="87938.5"/>
    <n v="68"/>
    <x v="0"/>
    <x v="2"/>
    <x v="38"/>
    <n v="5.44"/>
    <x v="0"/>
    <x v="1"/>
  </r>
  <r>
    <x v="84"/>
    <s v="John"/>
    <s v="Johnson"/>
    <s v="John Johnson"/>
    <s v="IT02"/>
    <s v="10/04/2023"/>
    <n v="52287"/>
    <n v="70"/>
    <x v="0"/>
    <x v="0"/>
    <x v="78"/>
    <n v="2.78"/>
    <x v="1"/>
    <x v="1"/>
  </r>
  <r>
    <x v="85"/>
    <s v="Richard"/>
    <s v="Gonzalez"/>
    <s v="Richard Gonzalez"/>
    <s v="IT02"/>
    <d v="2020-08-30T00:00:00"/>
    <n v="82633"/>
    <n v="98"/>
    <x v="0"/>
    <x v="0"/>
    <x v="79"/>
    <n v="5.88"/>
    <x v="4"/>
    <x v="1"/>
  </r>
  <r>
    <x v="86"/>
    <s v="Melissa"/>
    <s v="Anderson"/>
    <s v="Melissa Anderson"/>
    <s v="OPS06"/>
    <d v="2021-08-14T00:00:00"/>
    <n v="46508"/>
    <n v="34"/>
    <x v="0"/>
    <x v="3"/>
    <x v="80"/>
    <n v="4.92"/>
    <x v="2"/>
    <x v="1"/>
  </r>
  <r>
    <x v="87"/>
    <s v="Emily"/>
    <s v="Gonzalez"/>
    <s v="Emily Gonzalez"/>
    <s v="HR01"/>
    <d v="2019-11-27T00:00:00"/>
    <n v="86232"/>
    <n v="93"/>
    <x v="0"/>
    <x v="5"/>
    <x v="81"/>
    <n v="6.63"/>
    <x v="3"/>
    <x v="1"/>
  </r>
  <r>
    <x v="88"/>
    <s v="Jane"/>
    <s v="Davis"/>
    <s v="Jane Davis"/>
    <s v="IT02"/>
    <d v="2017-05-25T00:00:00"/>
    <s v="$77,545"/>
    <n v="48"/>
    <x v="0"/>
    <x v="0"/>
    <x v="82"/>
    <n v="9.14"/>
    <x v="2"/>
    <x v="1"/>
  </r>
  <r>
    <x v="89"/>
    <s v="William"/>
    <s v="Gonzalez"/>
    <s v="William Gonzalez"/>
    <s v="OPS06"/>
    <d v="2018-12-02T00:00:00"/>
    <n v="68683"/>
    <n v="90"/>
    <x v="0"/>
    <x v="3"/>
    <x v="83"/>
    <n v="7.62"/>
    <x v="3"/>
    <x v="1"/>
  </r>
  <r>
    <x v="90"/>
    <s v="Thomas"/>
    <s v="Jones"/>
    <s v="Thomas Jones"/>
    <s v="FIN03"/>
    <d v="2019-06-23T00:00:00"/>
    <n v="83932"/>
    <n v="57"/>
    <x v="1"/>
    <x v="2"/>
    <x v="84"/>
    <n v="7.06"/>
    <x v="0"/>
    <x v="1"/>
  </r>
  <r>
    <x v="91"/>
    <s v="Jessica"/>
    <s v="Anderson"/>
    <s v="Jessica Anderson"/>
    <s v="HR01"/>
    <d v="2015-10-27T00:00:00"/>
    <n v="56073"/>
    <n v="79"/>
    <x v="0"/>
    <x v="5"/>
    <x v="85"/>
    <n v="10.72"/>
    <x v="1"/>
    <x v="1"/>
  </r>
  <r>
    <x v="92"/>
    <s v="Melissa"/>
    <s v="Johnson"/>
    <s v="Melissa Johnson"/>
    <s v="IT02"/>
    <d v="2018-06-19T00:00:00"/>
    <s v="$88,056"/>
    <n v="66"/>
    <x v="0"/>
    <x v="0"/>
    <x v="86"/>
    <n v="8.07"/>
    <x v="0"/>
    <x v="1"/>
  </r>
  <r>
    <x v="93"/>
    <s v="Thomas"/>
    <s v="Miller"/>
    <s v="Thomas Miller"/>
    <s v="OPS06"/>
    <d v="2018-01-12T00:00:00"/>
    <n v="67414"/>
    <n v="84"/>
    <x v="1"/>
    <x v="3"/>
    <x v="87"/>
    <n v="8.51"/>
    <x v="1"/>
    <x v="1"/>
  </r>
  <r>
    <x v="94"/>
    <s v="William"/>
    <s v="Gonzalez"/>
    <s v="William Gonzalez"/>
    <s v="SAL05"/>
    <d v="2015-01-04T00:00:00"/>
    <s v="$115,288"/>
    <n v="61"/>
    <x v="0"/>
    <x v="4"/>
    <x v="88"/>
    <n v="11.53"/>
    <x v="0"/>
    <x v="1"/>
  </r>
  <r>
    <x v="95"/>
    <m/>
    <s v="Smith"/>
    <s v=" Smith"/>
    <s v="SAL05"/>
    <d v="2018-12-05T00:00:00"/>
    <n v="80140"/>
    <n v="58"/>
    <x v="0"/>
    <x v="4"/>
    <x v="89"/>
    <n v="7.61"/>
    <x v="0"/>
    <x v="1"/>
  </r>
  <r>
    <x v="96"/>
    <s v="John"/>
    <s v="Johnson"/>
    <s v="John Johnson"/>
    <s v="IT02"/>
    <d v="2021-10-13T00:00:00"/>
    <n v="73087"/>
    <n v="69"/>
    <x v="0"/>
    <x v="0"/>
    <x v="90"/>
    <n v="4.76"/>
    <x v="0"/>
    <x v="1"/>
  </r>
  <r>
    <x v="97"/>
    <s v="Jane"/>
    <s v="Johnson"/>
    <s v="Jane Johnson"/>
    <s v="SAL05"/>
    <d v="2020-09-07T00:00:00"/>
    <n v="95292"/>
    <n v="34"/>
    <x v="0"/>
    <x v="4"/>
    <x v="91"/>
    <n v="5.86"/>
    <x v="2"/>
    <x v="1"/>
  </r>
  <r>
    <x v="98"/>
    <s v="John"/>
    <s v="Jones"/>
    <s v="John Jones"/>
    <s v="IT02"/>
    <s v="03/08/2019"/>
    <n v="79893.409090909088"/>
    <n v="33"/>
    <x v="0"/>
    <x v="0"/>
    <x v="19"/>
    <n v="7.35"/>
    <x v="2"/>
    <x v="1"/>
  </r>
  <r>
    <x v="99"/>
    <s v="Jane"/>
    <s v="Lopez"/>
    <s v="Jane Lopez"/>
    <s v="MKT04"/>
    <d v="2015-03-11T00:00:00"/>
    <n v="101750"/>
    <n v="84"/>
    <x v="1"/>
    <x v="1"/>
    <x v="92"/>
    <n v="11.34"/>
    <x v="1"/>
    <x v="1"/>
  </r>
  <r>
    <x v="100"/>
    <s v="Melissa"/>
    <s v="Gonzalez"/>
    <s v="Melissa Gonzalez"/>
    <s v="MKT04"/>
    <d v="2017-02-19T00:00:00"/>
    <n v="82992"/>
    <n v="79"/>
    <x v="0"/>
    <x v="1"/>
    <x v="93"/>
    <n v="9.41"/>
    <x v="1"/>
    <x v="1"/>
  </r>
  <r>
    <x v="101"/>
    <s v="William"/>
    <s v="Davis"/>
    <s v="William Davis"/>
    <s v="IT02"/>
    <d v="2023-05-09T00:00:00"/>
    <s v="$49,942"/>
    <n v="51"/>
    <x v="0"/>
    <x v="0"/>
    <x v="94"/>
    <n v="3.18"/>
    <x v="0"/>
    <x v="1"/>
  </r>
  <r>
    <x v="102"/>
    <s v="John"/>
    <s v="Smith"/>
    <s v="John Smith"/>
    <s v="OPS06"/>
    <d v="2018-01-22T00:00:00"/>
    <n v="89060"/>
    <n v="58"/>
    <x v="0"/>
    <x v="3"/>
    <x v="95"/>
    <n v="8.48"/>
    <x v="0"/>
    <x v="1"/>
  </r>
  <r>
    <x v="103"/>
    <s v="James"/>
    <s v="Gonzalez"/>
    <s v="James Gonzalez"/>
    <s v="IT02"/>
    <d v="2020-02-18T00:00:00"/>
    <n v="53786"/>
    <n v="98"/>
    <x v="0"/>
    <x v="0"/>
    <x v="96"/>
    <n v="6.41"/>
    <x v="4"/>
    <x v="1"/>
  </r>
  <r>
    <x v="104"/>
    <s v="Emily"/>
    <s v="Johnson"/>
    <s v="Emily Johnson"/>
    <s v="OPS06"/>
    <s v="05/22/2016"/>
    <n v="81167"/>
    <n v="65"/>
    <x v="0"/>
    <x v="3"/>
    <x v="97"/>
    <n v="10.15"/>
    <x v="0"/>
    <x v="1"/>
  </r>
  <r>
    <x v="105"/>
    <s v="William"/>
    <s v="Williams"/>
    <s v="William Williams"/>
    <s v="MKT04"/>
    <d v="2021-06-02T00:00:00"/>
    <n v="66688"/>
    <n v="40"/>
    <x v="1"/>
    <x v="1"/>
    <x v="98"/>
    <n v="5.12"/>
    <x v="2"/>
    <x v="1"/>
  </r>
  <r>
    <x v="106"/>
    <s v="James"/>
    <s v="Jones"/>
    <s v="James Jones"/>
    <s v="IT02"/>
    <d v="2021-07-17T00:00:00"/>
    <n v="91672"/>
    <n v="88"/>
    <x v="0"/>
    <x v="0"/>
    <x v="99"/>
    <n v="4.99"/>
    <x v="3"/>
    <x v="1"/>
  </r>
  <r>
    <x v="107"/>
    <s v="Jessica"/>
    <s v="Gonzalez"/>
    <s v="Jessica Gonzalez"/>
    <s v="HR01"/>
    <d v="2016-11-13T00:00:00"/>
    <s v="$77,737"/>
    <n v="77"/>
    <x v="0"/>
    <x v="5"/>
    <x v="100"/>
    <n v="9.67"/>
    <x v="1"/>
    <x v="1"/>
  </r>
  <r>
    <x v="108"/>
    <s v="Sarah"/>
    <s v="Miller"/>
    <s v="Sarah Miller"/>
    <s v="SAL05"/>
    <d v="2019-02-17T00:00:00"/>
    <s v="$95,686"/>
    <n v="91"/>
    <x v="0"/>
    <x v="4"/>
    <x v="101"/>
    <n v="7.41"/>
    <x v="3"/>
    <x v="1"/>
  </r>
  <r>
    <x v="109"/>
    <s v="Jessica"/>
    <s v="Smith"/>
    <s v="Jessica Smith"/>
    <s v="SAL05"/>
    <d v="2016-09-12T00:00:00"/>
    <n v="114681"/>
    <n v="36"/>
    <x v="0"/>
    <x v="4"/>
    <x v="102"/>
    <n v="9.84"/>
    <x v="2"/>
    <x v="1"/>
  </r>
  <r>
    <x v="110"/>
    <s v="Thomas"/>
    <s v="Jones"/>
    <s v="Thomas Jones"/>
    <s v="OPS06"/>
    <d v="2021-08-13T00:00:00"/>
    <s v="$109,121"/>
    <n v="72"/>
    <x v="0"/>
    <x v="3"/>
    <x v="103"/>
    <n v="4.92"/>
    <x v="1"/>
    <x v="1"/>
  </r>
  <r>
    <x v="111"/>
    <s v="Amanda"/>
    <s v="Brown"/>
    <s v="Amanda Brown"/>
    <s v="MKT04"/>
    <d v="2020-06-14T00:00:00"/>
    <s v="$112,791"/>
    <n v="87"/>
    <x v="0"/>
    <x v="1"/>
    <x v="104"/>
    <n v="6.09"/>
    <x v="3"/>
    <x v="1"/>
  </r>
  <r>
    <x v="112"/>
    <s v="Robert"/>
    <s v="Martinez"/>
    <s v="Robert Martinez"/>
    <s v="IT02"/>
    <d v="2022-07-05T00:00:00"/>
    <n v="118008"/>
    <n v="71"/>
    <x v="0"/>
    <x v="0"/>
    <x v="105"/>
    <n v="4.03"/>
    <x v="1"/>
    <x v="1"/>
  </r>
  <r>
    <x v="113"/>
    <s v="Thomas"/>
    <s v="Miller"/>
    <s v="Thomas Miller"/>
    <s v="IT02"/>
    <s v="07/10/2016"/>
    <n v="74370"/>
    <n v="82"/>
    <x v="0"/>
    <x v="0"/>
    <x v="106"/>
    <n v="10.01"/>
    <x v="1"/>
    <x v="1"/>
  </r>
  <r>
    <x v="114"/>
    <s v="David"/>
    <s v="Rodriguez"/>
    <s v="David Rodriguez"/>
    <s v="IT02"/>
    <d v="2022-04-23T00:00:00"/>
    <n v="77819"/>
    <n v="79"/>
    <x v="0"/>
    <x v="0"/>
    <x v="107"/>
    <n v="4.2300000000000004"/>
    <x v="1"/>
    <x v="1"/>
  </r>
  <r>
    <x v="115"/>
    <s v="Jane"/>
    <s v="Miller"/>
    <s v="Jane Miller"/>
    <s v="MKT04"/>
    <s v="05/10/2017"/>
    <n v="48748"/>
    <n v="83"/>
    <x v="0"/>
    <x v="1"/>
    <x v="108"/>
    <n v="9.18"/>
    <x v="1"/>
    <x v="1"/>
  </r>
  <r>
    <x v="116"/>
    <s v="James"/>
    <s v="Rodriguez"/>
    <s v="James Rodriguez"/>
    <s v="OPS06"/>
    <d v="2020-05-20T00:00:00"/>
    <n v="101997"/>
    <n v="38"/>
    <x v="2"/>
    <x v="3"/>
    <x v="109"/>
    <n v="6.15"/>
    <x v="2"/>
    <x v="1"/>
  </r>
  <r>
    <x v="117"/>
    <s v="Sarah"/>
    <s v="Rodriguez"/>
    <s v="Sarah Rodriguez"/>
    <s v="HR01"/>
    <s v="04/20/2023"/>
    <n v="115260"/>
    <n v="77"/>
    <x v="0"/>
    <x v="5"/>
    <x v="110"/>
    <n v="3.24"/>
    <x v="1"/>
    <x v="1"/>
  </r>
  <r>
    <x v="118"/>
    <s v="Sarah"/>
    <s v="Wilson"/>
    <s v="Sarah Wilson"/>
    <s v="SAL05"/>
    <d v="2021-10-31T00:00:00"/>
    <n v="81083.352941176476"/>
    <n v="49"/>
    <x v="0"/>
    <x v="4"/>
    <x v="29"/>
    <n v="4.71"/>
    <x v="2"/>
    <x v="1"/>
  </r>
  <r>
    <x v="119"/>
    <s v="Melissa"/>
    <s v="Brown"/>
    <s v="Melissa Brown"/>
    <s v="IT02"/>
    <d v="2021-10-24T00:00:00"/>
    <n v="79893.409090909088"/>
    <n v="69"/>
    <x v="1"/>
    <x v="0"/>
    <x v="19"/>
    <n v="4.7300000000000004"/>
    <x v="0"/>
    <x v="1"/>
  </r>
  <r>
    <x v="120"/>
    <s v="Robert"/>
    <s v="Williams"/>
    <s v="Robert Williams"/>
    <s v="SAL05"/>
    <d v="2017-08-09T00:00:00"/>
    <n v="81083.352941176476"/>
    <n v="76"/>
    <x v="0"/>
    <x v="4"/>
    <x v="29"/>
    <n v="8.93"/>
    <x v="1"/>
    <x v="1"/>
  </r>
  <r>
    <x v="121"/>
    <s v="Melissa"/>
    <s v="Rodriguez"/>
    <s v="Melissa Rodriguez"/>
    <s v="OPS06"/>
    <d v="2023-01-04T00:00:00"/>
    <n v="60623"/>
    <n v="78"/>
    <x v="0"/>
    <x v="3"/>
    <x v="111"/>
    <n v="3.53"/>
    <x v="1"/>
    <x v="1"/>
  </r>
  <r>
    <x v="122"/>
    <s v="James"/>
    <s v="Johnson"/>
    <s v="James Johnson"/>
    <s v="HR01"/>
    <d v="2020-08-10T00:00:00"/>
    <s v="$68,092"/>
    <n v="93"/>
    <x v="0"/>
    <x v="5"/>
    <x v="112"/>
    <n v="5.93"/>
    <x v="3"/>
    <x v="1"/>
  </r>
  <r>
    <x v="123"/>
    <s v="Michael"/>
    <s v="Wilson"/>
    <s v="Michael Wilson"/>
    <s v="MKT04"/>
    <d v="2022-04-02T00:00:00"/>
    <n v="88155"/>
    <n v="68"/>
    <x v="0"/>
    <x v="1"/>
    <x v="113"/>
    <n v="4.29"/>
    <x v="0"/>
    <x v="1"/>
  </r>
  <r>
    <x v="124"/>
    <s v="William"/>
    <s v="Jones"/>
    <s v="William Jones"/>
    <s v="MKT04"/>
    <d v="2018-03-24T00:00:00"/>
    <n v="107903"/>
    <n v="42"/>
    <x v="0"/>
    <x v="1"/>
    <x v="114"/>
    <n v="8.31"/>
    <x v="2"/>
    <x v="1"/>
  </r>
  <r>
    <x v="125"/>
    <s v="William"/>
    <s v="Williams"/>
    <s v="William Williams"/>
    <s v="IT02"/>
    <d v="2018-07-24T00:00:00"/>
    <n v="62818"/>
    <n v="34"/>
    <x v="0"/>
    <x v="0"/>
    <x v="115"/>
    <n v="7.98"/>
    <x v="2"/>
    <x v="1"/>
  </r>
  <r>
    <x v="126"/>
    <s v="David"/>
    <s v="Williams"/>
    <s v="David Williams"/>
    <s v="HR01"/>
    <d v="2018-07-20T00:00:00"/>
    <n v="85151"/>
    <n v="35"/>
    <x v="0"/>
    <x v="5"/>
    <x v="116"/>
    <n v="7.99"/>
    <x v="2"/>
    <x v="1"/>
  </r>
  <r>
    <x v="127"/>
    <s v="Jane"/>
    <s v="Davis"/>
    <s v="Jane Davis"/>
    <s v="FIN03"/>
    <d v="2016-03-04T00:00:00"/>
    <n v="46390"/>
    <n v="95"/>
    <x v="0"/>
    <x v="2"/>
    <x v="117"/>
    <n v="10.36"/>
    <x v="4"/>
    <x v="1"/>
  </r>
  <r>
    <x v="128"/>
    <s v="John"/>
    <s v="Martinez"/>
    <s v="John Martinez"/>
    <s v="HR01"/>
    <d v="2022-03-23T00:00:00"/>
    <n v="111920"/>
    <n v="90"/>
    <x v="1"/>
    <x v="5"/>
    <x v="118"/>
    <n v="4.3099999999999996"/>
    <x v="3"/>
    <x v="1"/>
  </r>
  <r>
    <x v="129"/>
    <s v="David"/>
    <s v="Anderson"/>
    <s v="David Anderson"/>
    <s v="HR01"/>
    <d v="2017-07-28T00:00:00"/>
    <s v="$115,618"/>
    <n v="42"/>
    <x v="0"/>
    <x v="5"/>
    <x v="119"/>
    <n v="8.9600000000000009"/>
    <x v="2"/>
    <x v="1"/>
  </r>
  <r>
    <x v="130"/>
    <s v="Sarah"/>
    <s v="Smith"/>
    <s v="Sarah Smith"/>
    <s v="SAL05"/>
    <s v="05/11/2023"/>
    <s v="$110,618"/>
    <n v="88"/>
    <x v="2"/>
    <x v="4"/>
    <x v="120"/>
    <n v="3.18"/>
    <x v="3"/>
    <x v="1"/>
  </r>
  <r>
    <x v="131"/>
    <s v="Melissa"/>
    <s v="Hernandez"/>
    <s v="Melissa Hernandez"/>
    <s v="OPS06"/>
    <d v="2022-03-19T00:00:00"/>
    <n v="108395"/>
    <n v="78"/>
    <x v="1"/>
    <x v="3"/>
    <x v="121"/>
    <n v="4.32"/>
    <x v="1"/>
    <x v="1"/>
  </r>
  <r>
    <x v="132"/>
    <s v="Melissa"/>
    <s v="Johnson"/>
    <s v="Melissa Johnson"/>
    <s v="FIN03"/>
    <d v="2017-12-22T00:00:00"/>
    <n v="88005"/>
    <n v="69"/>
    <x v="0"/>
    <x v="2"/>
    <x v="122"/>
    <n v="8.56"/>
    <x v="0"/>
    <x v="1"/>
  </r>
  <r>
    <x v="133"/>
    <s v="Jane"/>
    <s v="Garcia"/>
    <s v="Jane Garcia"/>
    <s v="MKT04"/>
    <s v="08/29/2021"/>
    <n v="83007"/>
    <n v="82"/>
    <x v="0"/>
    <x v="1"/>
    <x v="123"/>
    <n v="4.88"/>
    <x v="1"/>
    <x v="1"/>
  </r>
  <r>
    <x v="134"/>
    <s v="David"/>
    <s v="Davis"/>
    <s v="David Davis"/>
    <s v="IT02"/>
    <d v="2018-09-17T00:00:00"/>
    <s v="$61,547"/>
    <n v="68"/>
    <x v="0"/>
    <x v="0"/>
    <x v="124"/>
    <n v="7.83"/>
    <x v="0"/>
    <x v="1"/>
  </r>
  <r>
    <x v="135"/>
    <s v="James"/>
    <s v="Wilson"/>
    <s v="James Wilson"/>
    <s v="SAL05"/>
    <d v="2021-06-28T00:00:00"/>
    <n v="81083.352941176476"/>
    <n v="52"/>
    <x v="0"/>
    <x v="4"/>
    <x v="29"/>
    <n v="5.05"/>
    <x v="0"/>
    <x v="1"/>
  </r>
  <r>
    <x v="136"/>
    <s v="Richard"/>
    <s v="Johnson"/>
    <s v="Richard Johnson"/>
    <s v="OPS06"/>
    <d v="2017-10-03T00:00:00"/>
    <n v="50399"/>
    <n v="92"/>
    <x v="1"/>
    <x v="3"/>
    <x v="125"/>
    <n v="8.7799999999999994"/>
    <x v="3"/>
    <x v="1"/>
  </r>
  <r>
    <x v="137"/>
    <s v="Richard"/>
    <s v="Williams"/>
    <s v="Richard Williams"/>
    <s v="FIN03"/>
    <s v="10/22/2015"/>
    <n v="87938.5"/>
    <n v="62"/>
    <x v="0"/>
    <x v="2"/>
    <x v="38"/>
    <n v="10.73"/>
    <x v="0"/>
    <x v="1"/>
  </r>
  <r>
    <x v="138"/>
    <s v="John"/>
    <s v="Hernandez"/>
    <s v="John Hernandez"/>
    <s v="OPS06"/>
    <d v="2018-06-06T00:00:00"/>
    <n v="52720"/>
    <n v="68"/>
    <x v="0"/>
    <x v="3"/>
    <x v="126"/>
    <n v="8.11"/>
    <x v="0"/>
    <x v="1"/>
  </r>
  <r>
    <x v="139"/>
    <s v="Sarah"/>
    <s v="Gonzalez"/>
    <s v="Sarah Gonzalez"/>
    <s v="OPS06"/>
    <d v="2017-07-16T00:00:00"/>
    <n v="65065"/>
    <n v="98"/>
    <x v="0"/>
    <x v="3"/>
    <x v="127"/>
    <n v="9"/>
    <x v="4"/>
    <x v="1"/>
  </r>
  <r>
    <x v="140"/>
    <s v="Melissa"/>
    <s v="Hernandez"/>
    <s v="Melissa Hernandez"/>
    <s v="SAL05"/>
    <d v="2015-06-20T00:00:00"/>
    <n v="81083.352941176476"/>
    <n v="94"/>
    <x v="2"/>
    <x v="4"/>
    <x v="29"/>
    <n v="11.07"/>
    <x v="3"/>
    <x v="1"/>
  </r>
  <r>
    <x v="141"/>
    <s v="Melissa"/>
    <s v="Hernandez"/>
    <s v="Melissa Hernandez"/>
    <s v="OPS06"/>
    <d v="2019-05-24T00:00:00"/>
    <s v="$108,119"/>
    <n v="57"/>
    <x v="2"/>
    <x v="3"/>
    <x v="128"/>
    <n v="7.14"/>
    <x v="0"/>
    <x v="1"/>
  </r>
  <r>
    <x v="142"/>
    <s v="John"/>
    <s v="Davis"/>
    <s v="John Davis"/>
    <s v="IT02"/>
    <d v="2020-02-26T00:00:00"/>
    <n v="79893.409090909088"/>
    <n v="96"/>
    <x v="0"/>
    <x v="0"/>
    <x v="19"/>
    <n v="6.39"/>
    <x v="4"/>
    <x v="1"/>
  </r>
  <r>
    <x v="143"/>
    <s v="Richard"/>
    <s v="Davis"/>
    <s v="Richard Davis"/>
    <s v="HR01"/>
    <d v="2023-03-06T00:00:00"/>
    <n v="106896"/>
    <n v="52"/>
    <x v="1"/>
    <x v="5"/>
    <x v="129"/>
    <n v="3.36"/>
    <x v="0"/>
    <x v="1"/>
  </r>
  <r>
    <x v="144"/>
    <m/>
    <s v="Jones"/>
    <s v=" Jones"/>
    <s v="IT02"/>
    <s v="01/12/2019"/>
    <n v="112887"/>
    <n v="59"/>
    <x v="0"/>
    <x v="0"/>
    <x v="130"/>
    <n v="7.51"/>
    <x v="0"/>
    <x v="1"/>
  </r>
  <r>
    <x v="145"/>
    <s v="William"/>
    <s v="Rodriguez"/>
    <s v="William Rodriguez"/>
    <s v="FIN03"/>
    <d v="2023-04-21T00:00:00"/>
    <n v="85457"/>
    <n v="79"/>
    <x v="0"/>
    <x v="2"/>
    <x v="131"/>
    <n v="3.23"/>
    <x v="1"/>
    <x v="1"/>
  </r>
  <r>
    <x v="146"/>
    <s v="Melissa"/>
    <s v="Miller"/>
    <s v="Melissa Miller"/>
    <s v="SAL05"/>
    <d v="2016-05-29T00:00:00"/>
    <n v="62798"/>
    <n v="30"/>
    <x v="0"/>
    <x v="4"/>
    <x v="132"/>
    <n v="10.130000000000001"/>
    <x v="2"/>
    <x v="1"/>
  </r>
  <r>
    <x v="147"/>
    <s v="Emily"/>
    <s v="Martinez"/>
    <s v="Emily Martinez"/>
    <s v="OPS06"/>
    <d v="2022-05-30T00:00:00"/>
    <n v="47794"/>
    <n v="73"/>
    <x v="1"/>
    <x v="3"/>
    <x v="133"/>
    <n v="4.13"/>
    <x v="1"/>
    <x v="1"/>
  </r>
  <r>
    <x v="148"/>
    <s v="James"/>
    <s v="Rodriguez"/>
    <s v="James Rodriguez"/>
    <s v="MKT04"/>
    <d v="2016-11-03T00:00:00"/>
    <n v="93094"/>
    <n v="74"/>
    <x v="0"/>
    <x v="1"/>
    <x v="134"/>
    <n v="9.6999999999999993"/>
    <x v="1"/>
    <x v="1"/>
  </r>
  <r>
    <x v="149"/>
    <s v="Amanda"/>
    <s v="Brown"/>
    <s v="Amanda Brown"/>
    <s v="IT02"/>
    <d v="2022-10-14T00:00:00"/>
    <s v="$118,634"/>
    <n v="91"/>
    <x v="0"/>
    <x v="0"/>
    <x v="135"/>
    <n v="3.75"/>
    <x v="3"/>
    <x v="1"/>
  </r>
  <r>
    <x v="150"/>
    <m/>
    <m/>
    <s v=" "/>
    <m/>
    <m/>
    <m/>
    <n v="65"/>
    <x v="3"/>
    <x v="6"/>
    <x v="136"/>
    <m/>
    <x v="0"/>
    <x v="1"/>
  </r>
  <r>
    <x v="150"/>
    <m/>
    <m/>
    <s v=" "/>
    <m/>
    <m/>
    <m/>
    <n v="65"/>
    <x v="3"/>
    <x v="6"/>
    <x v="136"/>
    <m/>
    <x v="0"/>
    <x v="1"/>
  </r>
  <r>
    <x v="150"/>
    <m/>
    <m/>
    <s v=" "/>
    <m/>
    <m/>
    <m/>
    <n v="65"/>
    <x v="3"/>
    <x v="6"/>
    <x v="136"/>
    <m/>
    <x v="0"/>
    <x v="1"/>
  </r>
  <r>
    <x v="150"/>
    <m/>
    <m/>
    <s v=" "/>
    <m/>
    <m/>
    <m/>
    <n v="65"/>
    <x v="3"/>
    <x v="6"/>
    <x v="136"/>
    <m/>
    <x v="0"/>
    <x v="1"/>
  </r>
  <r>
    <x v="150"/>
    <m/>
    <m/>
    <s v=" "/>
    <m/>
    <m/>
    <m/>
    <n v="65"/>
    <x v="3"/>
    <x v="6"/>
    <x v="136"/>
    <m/>
    <x v="0"/>
    <x v="1"/>
  </r>
  <r>
    <x v="150"/>
    <m/>
    <m/>
    <s v=" "/>
    <m/>
    <m/>
    <m/>
    <n v="65"/>
    <x v="3"/>
    <x v="6"/>
    <x v="136"/>
    <m/>
    <x v="0"/>
    <x v="1"/>
  </r>
  <r>
    <x v="150"/>
    <m/>
    <m/>
    <s v=" "/>
    <m/>
    <m/>
    <m/>
    <n v="65"/>
    <x v="3"/>
    <x v="6"/>
    <x v="136"/>
    <m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F876B-C8D0-421C-AB97-7754E210584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E3:H11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multipleItemSelectionAllowed="1" showAll="0">
      <items count="5">
        <item x="0"/>
        <item x="1"/>
        <item h="1" x="2"/>
        <item h="1" x="3"/>
        <item t="default"/>
      </items>
    </pivotField>
    <pivotField axis="axisRow" showAll="0">
      <items count="8">
        <item x="2"/>
        <item x="5"/>
        <item x="0"/>
        <item x="1"/>
        <item x="3"/>
        <item x="4"/>
        <item x="6"/>
        <item t="default"/>
      </items>
    </pivotField>
    <pivotField showAll="0">
      <items count="138">
        <item x="70"/>
        <item x="117"/>
        <item x="80"/>
        <item x="133"/>
        <item x="108"/>
        <item x="69"/>
        <item x="57"/>
        <item x="0"/>
        <item x="125"/>
        <item x="65"/>
        <item x="78"/>
        <item x="41"/>
        <item x="126"/>
        <item x="96"/>
        <item x="67"/>
        <item x="52"/>
        <item x="85"/>
        <item x="39"/>
        <item x="33"/>
        <item x="6"/>
        <item x="111"/>
        <item x="12"/>
        <item x="132"/>
        <item x="115"/>
        <item x="60"/>
        <item x="127"/>
        <item x="68"/>
        <item x="15"/>
        <item x="31"/>
        <item x="98"/>
        <item x="87"/>
        <item x="24"/>
        <item x="83"/>
        <item x="7"/>
        <item x="37"/>
        <item x="72"/>
        <item x="90"/>
        <item x="4"/>
        <item x="18"/>
        <item x="106"/>
        <item x="11"/>
        <item x="107"/>
        <item x="55"/>
        <item x="44"/>
        <item x="19"/>
        <item x="89"/>
        <item x="53"/>
        <item x="14"/>
        <item x="29"/>
        <item x="97"/>
        <item x="25"/>
        <item x="43"/>
        <item x="79"/>
        <item x="93"/>
        <item x="123"/>
        <item x="48"/>
        <item x="76"/>
        <item x="84"/>
        <item x="116"/>
        <item x="28"/>
        <item x="131"/>
        <item x="81"/>
        <item x="40"/>
        <item x="74"/>
        <item x="73"/>
        <item x="38"/>
        <item x="122"/>
        <item x="113"/>
        <item x="66"/>
        <item x="95"/>
        <item x="32"/>
        <item x="56"/>
        <item x="99"/>
        <item x="46"/>
        <item x="134"/>
        <item x="50"/>
        <item x="22"/>
        <item x="9"/>
        <item x="91"/>
        <item x="30"/>
        <item x="77"/>
        <item x="47"/>
        <item x="13"/>
        <item x="23"/>
        <item x="92"/>
        <item x="109"/>
        <item x="8"/>
        <item x="35"/>
        <item x="17"/>
        <item x="3"/>
        <item x="62"/>
        <item x="45"/>
        <item x="16"/>
        <item x="129"/>
        <item x="21"/>
        <item x="114"/>
        <item x="121"/>
        <item x="58"/>
        <item x="36"/>
        <item x="118"/>
        <item x="1"/>
        <item x="130"/>
        <item x="34"/>
        <item x="102"/>
        <item x="59"/>
        <item x="110"/>
        <item x="51"/>
        <item x="5"/>
        <item x="105"/>
        <item x="20"/>
        <item x="54"/>
        <item x="128"/>
        <item x="103"/>
        <item x="120"/>
        <item x="64"/>
        <item x="104"/>
        <item x="2"/>
        <item x="88"/>
        <item x="119"/>
        <item x="135"/>
        <item x="10"/>
        <item x="75"/>
        <item x="94"/>
        <item x="27"/>
        <item x="63"/>
        <item x="124"/>
        <item x="42"/>
        <item x="112"/>
        <item x="49"/>
        <item x="61"/>
        <item x="82"/>
        <item x="26"/>
        <item x="100"/>
        <item x="71"/>
        <item x="86"/>
        <item x="101"/>
        <item x="136"/>
        <item t="default"/>
      </items>
    </pivotField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lumn" fld="8" subtotal="count" showDataAs="percentOfTotal" baseField="9" baseItem="0" numFmtId="10"/>
  </dataFields>
  <formats count="10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8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9" type="button" dataOnly="0" labelOnly="1" outline="0" axis="axisRow" fieldPosition="0"/>
    </format>
    <format dxfId="10">
      <pivotArea dataOnly="0" labelOnly="1" fieldPosition="0">
        <references count="1">
          <reference field="9" count="6">
            <x v="0"/>
            <x v="1"/>
            <x v="2"/>
            <x v="3"/>
            <x v="4"/>
            <x v="5"/>
          </reference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CF890-79E6-421F-A571-A484FB9B7B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1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5"/>
        <item x="0"/>
        <item x="1"/>
        <item x="3"/>
        <item x="4"/>
        <item x="6"/>
        <item t="default"/>
      </items>
    </pivotField>
    <pivotField dataField="1" showAll="0">
      <items count="138">
        <item x="70"/>
        <item x="117"/>
        <item x="80"/>
        <item x="133"/>
        <item x="108"/>
        <item x="69"/>
        <item x="57"/>
        <item x="0"/>
        <item x="125"/>
        <item x="65"/>
        <item x="78"/>
        <item x="41"/>
        <item x="126"/>
        <item x="96"/>
        <item x="67"/>
        <item x="52"/>
        <item x="85"/>
        <item x="39"/>
        <item x="33"/>
        <item x="6"/>
        <item x="111"/>
        <item x="12"/>
        <item x="132"/>
        <item x="115"/>
        <item x="60"/>
        <item x="127"/>
        <item x="68"/>
        <item x="15"/>
        <item x="31"/>
        <item x="98"/>
        <item x="87"/>
        <item x="24"/>
        <item x="83"/>
        <item x="7"/>
        <item x="37"/>
        <item x="72"/>
        <item x="90"/>
        <item x="4"/>
        <item x="18"/>
        <item x="106"/>
        <item x="11"/>
        <item x="107"/>
        <item x="55"/>
        <item x="44"/>
        <item x="19"/>
        <item x="89"/>
        <item x="53"/>
        <item x="14"/>
        <item x="29"/>
        <item x="97"/>
        <item x="25"/>
        <item x="43"/>
        <item x="79"/>
        <item x="93"/>
        <item x="123"/>
        <item x="48"/>
        <item x="76"/>
        <item x="84"/>
        <item x="116"/>
        <item x="28"/>
        <item x="131"/>
        <item x="81"/>
        <item x="40"/>
        <item x="74"/>
        <item x="73"/>
        <item x="38"/>
        <item x="122"/>
        <item x="113"/>
        <item x="66"/>
        <item x="95"/>
        <item x="32"/>
        <item x="56"/>
        <item x="99"/>
        <item x="46"/>
        <item x="134"/>
        <item x="50"/>
        <item x="22"/>
        <item x="9"/>
        <item x="91"/>
        <item x="30"/>
        <item x="77"/>
        <item x="47"/>
        <item x="13"/>
        <item x="23"/>
        <item x="92"/>
        <item x="109"/>
        <item x="8"/>
        <item x="35"/>
        <item x="17"/>
        <item x="3"/>
        <item x="62"/>
        <item x="45"/>
        <item x="16"/>
        <item x="129"/>
        <item x="21"/>
        <item x="114"/>
        <item x="121"/>
        <item x="58"/>
        <item x="36"/>
        <item x="118"/>
        <item x="1"/>
        <item x="130"/>
        <item x="34"/>
        <item x="102"/>
        <item x="59"/>
        <item x="110"/>
        <item x="51"/>
        <item x="5"/>
        <item x="105"/>
        <item x="20"/>
        <item x="54"/>
        <item x="128"/>
        <item x="103"/>
        <item x="120"/>
        <item x="64"/>
        <item x="104"/>
        <item x="2"/>
        <item x="88"/>
        <item x="119"/>
        <item x="135"/>
        <item x="10"/>
        <item x="75"/>
        <item x="94"/>
        <item x="27"/>
        <item x="63"/>
        <item x="124"/>
        <item x="42"/>
        <item x="112"/>
        <item x="49"/>
        <item x="61"/>
        <item x="82"/>
        <item x="26"/>
        <item x="100"/>
        <item x="71"/>
        <item x="86"/>
        <item x="101"/>
        <item x="136"/>
        <item t="default"/>
      </items>
    </pivotField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2" fld="10" subtotal="average" baseField="9" baseItem="0"/>
  </dataFields>
  <formats count="7">
    <format dxfId="23">
      <pivotArea grandRow="1"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9" type="button" dataOnly="0" labelOnly="1" outline="0" axis="axisRow" fieldPosition="0"/>
    </format>
    <format dxfId="19">
      <pivotArea dataOnly="0" labelOnly="1" fieldPosition="0">
        <references count="1">
          <reference field="9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BDD4F-9169-445F-965D-84E2D4A593B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5"/>
        <item x="0"/>
        <item x="1"/>
        <item x="3"/>
        <item x="4"/>
        <item x="6"/>
        <item t="default"/>
      </items>
    </pivotField>
    <pivotField showAll="0">
      <items count="138">
        <item x="70"/>
        <item x="117"/>
        <item x="80"/>
        <item x="133"/>
        <item x="108"/>
        <item x="69"/>
        <item x="57"/>
        <item x="0"/>
        <item x="125"/>
        <item x="65"/>
        <item x="78"/>
        <item x="41"/>
        <item x="126"/>
        <item x="96"/>
        <item x="67"/>
        <item x="52"/>
        <item x="85"/>
        <item x="39"/>
        <item x="33"/>
        <item x="6"/>
        <item x="111"/>
        <item x="12"/>
        <item x="132"/>
        <item x="115"/>
        <item x="60"/>
        <item x="127"/>
        <item x="68"/>
        <item x="15"/>
        <item x="31"/>
        <item x="98"/>
        <item x="87"/>
        <item x="24"/>
        <item x="83"/>
        <item x="7"/>
        <item x="37"/>
        <item x="72"/>
        <item x="90"/>
        <item x="4"/>
        <item x="18"/>
        <item x="106"/>
        <item x="11"/>
        <item x="107"/>
        <item x="55"/>
        <item x="44"/>
        <item x="19"/>
        <item x="89"/>
        <item x="53"/>
        <item x="14"/>
        <item x="29"/>
        <item x="97"/>
        <item x="25"/>
        <item x="43"/>
        <item x="79"/>
        <item x="93"/>
        <item x="123"/>
        <item x="48"/>
        <item x="76"/>
        <item x="84"/>
        <item x="116"/>
        <item x="28"/>
        <item x="131"/>
        <item x="81"/>
        <item x="40"/>
        <item x="74"/>
        <item x="73"/>
        <item x="38"/>
        <item x="122"/>
        <item x="113"/>
        <item x="66"/>
        <item x="95"/>
        <item x="32"/>
        <item x="56"/>
        <item x="99"/>
        <item x="46"/>
        <item x="134"/>
        <item x="50"/>
        <item x="22"/>
        <item x="9"/>
        <item x="91"/>
        <item x="30"/>
        <item x="77"/>
        <item x="47"/>
        <item x="13"/>
        <item x="23"/>
        <item x="92"/>
        <item x="109"/>
        <item x="8"/>
        <item x="35"/>
        <item x="17"/>
        <item x="3"/>
        <item x="62"/>
        <item x="45"/>
        <item x="16"/>
        <item x="129"/>
        <item x="21"/>
        <item x="114"/>
        <item x="121"/>
        <item x="58"/>
        <item x="36"/>
        <item x="118"/>
        <item x="1"/>
        <item x="130"/>
        <item x="34"/>
        <item x="102"/>
        <item x="59"/>
        <item x="110"/>
        <item x="51"/>
        <item x="5"/>
        <item x="105"/>
        <item x="20"/>
        <item x="54"/>
        <item x="128"/>
        <item x="103"/>
        <item x="120"/>
        <item x="64"/>
        <item x="104"/>
        <item x="2"/>
        <item x="88"/>
        <item x="119"/>
        <item x="135"/>
        <item x="10"/>
        <item x="75"/>
        <item x="94"/>
        <item x="27"/>
        <item x="63"/>
        <item x="124"/>
        <item x="42"/>
        <item x="112"/>
        <item x="49"/>
        <item x="61"/>
        <item x="82"/>
        <item x="26"/>
        <item x="100"/>
        <item x="71"/>
        <item x="86"/>
        <item x="101"/>
        <item x="136"/>
        <item t="default"/>
      </items>
    </pivotField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NUS" fld="13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2" type="button" dataOnly="0" labelOnly="1" outline="0" axis="axisRow" fieldPosition="0"/>
    </format>
    <format dxfId="26">
      <pivotArea dataOnly="0" labelOnly="1" fieldPosition="0">
        <references count="1">
          <reference field="1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643E7-5075-48EB-A6A1-ADE0062F71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F19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8">
        <item x="2"/>
        <item x="5"/>
        <item x="0"/>
        <item x="1"/>
        <item x="3"/>
        <item x="4"/>
        <item x="6"/>
        <item t="default"/>
      </items>
    </pivotField>
    <pivotField showAll="0">
      <items count="138">
        <item x="70"/>
        <item x="117"/>
        <item x="80"/>
        <item x="133"/>
        <item x="108"/>
        <item x="69"/>
        <item x="57"/>
        <item x="0"/>
        <item x="125"/>
        <item x="65"/>
        <item x="78"/>
        <item x="41"/>
        <item x="126"/>
        <item x="96"/>
        <item x="67"/>
        <item x="52"/>
        <item x="85"/>
        <item x="39"/>
        <item x="33"/>
        <item x="6"/>
        <item x="111"/>
        <item x="12"/>
        <item x="132"/>
        <item x="115"/>
        <item x="60"/>
        <item x="127"/>
        <item x="68"/>
        <item x="15"/>
        <item x="31"/>
        <item x="98"/>
        <item x="87"/>
        <item x="24"/>
        <item x="83"/>
        <item x="7"/>
        <item x="37"/>
        <item x="72"/>
        <item x="90"/>
        <item x="4"/>
        <item x="18"/>
        <item x="106"/>
        <item x="11"/>
        <item x="107"/>
        <item x="55"/>
        <item x="44"/>
        <item x="19"/>
        <item x="89"/>
        <item x="53"/>
        <item x="14"/>
        <item x="29"/>
        <item x="97"/>
        <item x="25"/>
        <item x="43"/>
        <item x="79"/>
        <item x="93"/>
        <item x="123"/>
        <item x="48"/>
        <item x="76"/>
        <item x="84"/>
        <item x="116"/>
        <item x="28"/>
        <item x="131"/>
        <item x="81"/>
        <item x="40"/>
        <item x="74"/>
        <item x="73"/>
        <item x="38"/>
        <item x="122"/>
        <item x="113"/>
        <item x="66"/>
        <item x="95"/>
        <item x="32"/>
        <item x="56"/>
        <item x="99"/>
        <item x="46"/>
        <item x="134"/>
        <item x="50"/>
        <item x="22"/>
        <item x="9"/>
        <item x="91"/>
        <item x="30"/>
        <item x="77"/>
        <item x="47"/>
        <item x="13"/>
        <item x="23"/>
        <item x="92"/>
        <item x="109"/>
        <item x="8"/>
        <item x="35"/>
        <item x="17"/>
        <item x="3"/>
        <item x="62"/>
        <item x="45"/>
        <item x="16"/>
        <item x="129"/>
        <item x="21"/>
        <item x="114"/>
        <item x="121"/>
        <item x="58"/>
        <item x="36"/>
        <item x="118"/>
        <item x="1"/>
        <item x="130"/>
        <item x="34"/>
        <item x="102"/>
        <item x="59"/>
        <item x="110"/>
        <item x="51"/>
        <item x="5"/>
        <item x="105"/>
        <item x="20"/>
        <item x="54"/>
        <item x="128"/>
        <item x="103"/>
        <item x="120"/>
        <item x="64"/>
        <item x="104"/>
        <item x="2"/>
        <item x="88"/>
        <item x="119"/>
        <item x="135"/>
        <item x="10"/>
        <item x="75"/>
        <item x="94"/>
        <item x="27"/>
        <item x="63"/>
        <item x="124"/>
        <item x="42"/>
        <item x="112"/>
        <item x="49"/>
        <item x="61"/>
        <item x="82"/>
        <item x="26"/>
        <item x="100"/>
        <item x="71"/>
        <item x="86"/>
        <item x="101"/>
        <item x="136"/>
        <item t="default"/>
      </items>
    </pivotField>
    <pivotField showAll="0"/>
    <pivotField showAll="0"/>
    <pivotField showAll="0"/>
  </pivotFields>
  <rowItems count="1">
    <i/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erf_Score" fld="7" subtotal="average" baseField="8" baseItem="0"/>
  </dataFields>
  <formats count="1">
    <format dxfId="3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D8F27-A068-4841-83BE-1E5963A65939}" name="Table1" displayName="Table1" ref="A1:N151" totalsRowShown="0" headerRowDxfId="6">
  <autoFilter ref="A1:N151" xr:uid="{F0DD8F27-A068-4841-83BE-1E5963A65939}"/>
  <sortState xmlns:xlrd2="http://schemas.microsoft.com/office/spreadsheetml/2017/richdata2" ref="A2:N151">
    <sortCondition descending="1" ref="F1:F151"/>
  </sortState>
  <tableColumns count="14">
    <tableColumn id="1" xr3:uid="{3FF6D510-CE23-4B62-80FA-7A1CCF7FDB5E}" name="Emp ID"/>
    <tableColumn id="2" xr3:uid="{30081491-4DE7-4E9E-9DB5-2F33BFAAC88E}" name="First_Name"/>
    <tableColumn id="3" xr3:uid="{BBF9E064-ECDB-4652-BA32-BE1267FF4657}" name="Last_Name"/>
    <tableColumn id="4" xr3:uid="{5302F1DA-937D-4EC4-94F9-893200386035}" name="Merge Names" dataDxfId="5">
      <calculatedColumnFormula>_xlfn.CONCAT(B2," ",C2)</calculatedColumnFormula>
    </tableColumn>
    <tableColumn id="5" xr3:uid="{9B3157DE-2A8E-4A9B-BE42-FC56B1D2DBDB}" name="Dept Code"/>
    <tableColumn id="6" xr3:uid="{95659948-F081-4D9F-80AF-6D7D84E9B8B4}" name="Hire Date" dataDxfId="4"/>
    <tableColumn id="7" xr3:uid="{FBA6FE31-C39B-489B-9175-A3D47C542AAD}" name="Salary" dataDxfId="3"/>
    <tableColumn id="8" xr3:uid="{CB020D9A-EA97-4EAA-84D2-9F6C7444ECB8}" name="Perf_Score"/>
    <tableColumn id="9" xr3:uid="{8745DBD2-58CC-416A-8774-05B6014EA6C8}" name="Employment Status"/>
    <tableColumn id="10" xr3:uid="{29AD9BAF-EE33-4A4F-9273-0E00B6663D31}" name="DEPARTMENT"/>
    <tableColumn id="11" xr3:uid="{63EDCFA8-C9D4-45E4-8FA4-A295DCFCA760}" name="SALARY2" dataDxfId="2"/>
    <tableColumn id="12" xr3:uid="{93E5E415-DE09-4D34-B0C4-D93338A2A425}" name="YEAR OF SERVICE"/>
    <tableColumn id="13" xr3:uid="{29BE339B-E5F6-4253-A03F-41DC4A9A47B5}" name="perf band" dataDxfId="1">
      <calculatedColumnFormula>_xlfn.IFS(H2&lt;=49,"Needs Improvement",H2&lt;=69,"Developing",H2&lt;=84,"Achiving",H2&lt;=94,"Exceeding",H2&lt;=100,"Outstanding")</calculatedColumnFormula>
    </tableColumn>
    <tableColumn id="14" xr3:uid="{C878B08D-98F2-421D-9E2B-2EA1B554C178}" name="BON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73F257-89B6-47C5-AF4C-5F35558394B7}" name="Table2" displayName="Table2" ref="A3:N119" totalsRowShown="0">
  <autoFilter ref="A3:N119" xr:uid="{BF73F257-89B6-47C5-AF4C-5F35558394B7}"/>
  <tableColumns count="14">
    <tableColumn id="1" xr3:uid="{1B1F5C1E-E3FE-41FB-9C4C-83A89919184E}" name="Emp ID"/>
    <tableColumn id="2" xr3:uid="{DC23D78E-8475-48D8-9009-A5A3A01D762A}" name="First_Name"/>
    <tableColumn id="3" xr3:uid="{43B21CBC-08DB-4B9E-ABEA-A345CA3A5091}" name="Last_Name"/>
    <tableColumn id="4" xr3:uid="{4F36F5A4-05E8-4B5D-8759-9638DD4AA4AB}" name="Column2"/>
    <tableColumn id="5" xr3:uid="{3E079F3C-2FC8-4CF3-A698-0781B98183C9}" name="Dept Code"/>
    <tableColumn id="6" xr3:uid="{2F318A9E-27EC-4F79-A35D-5BBE83B10379}" name="Hire Date" dataDxfId="0"/>
    <tableColumn id="7" xr3:uid="{1AC1D1F8-FC26-4FA7-B696-1C052D519B0F}" name="Salary"/>
    <tableColumn id="8" xr3:uid="{95C92813-8D23-48E2-9BDD-9EA2202FBC7A}" name="Perf_Score"/>
    <tableColumn id="9" xr3:uid="{A2A68E83-F201-49E3-B331-D758100508E0}" name="Employment Status"/>
    <tableColumn id="10" xr3:uid="{7CC4ECAC-CC3B-42E1-B993-5E7BCC323526}" name="DEPARTMENT"/>
    <tableColumn id="11" xr3:uid="{DE329485-6F6F-4B64-BF88-793B1DB9AA39}" name="SALARY2"/>
    <tableColumn id="12" xr3:uid="{C9052C1B-604B-4E61-B4C3-C9AD3E0A5AEE}" name="YEAR OF SERVICE"/>
    <tableColumn id="13" xr3:uid="{AF38A2A9-757E-4BAB-9512-A4417122E849}" name="perf band"/>
    <tableColumn id="14" xr3:uid="{A58A52F8-E544-42ED-8B93-F04A261CF558}" name="BON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70B6-9A5E-4D44-A6F9-F9DB59E7A8E7}">
  <dimension ref="A2:K25"/>
  <sheetViews>
    <sheetView showGridLines="0" tabSelected="1" topLeftCell="A21" workbookViewId="0">
      <selection activeCell="I6" sqref="I6"/>
    </sheetView>
  </sheetViews>
  <sheetFormatPr defaultRowHeight="15" x14ac:dyDescent="0.25"/>
  <cols>
    <col min="1" max="1" width="20.85546875" bestFit="1" customWidth="1"/>
    <col min="2" max="2" width="27.85546875" customWidth="1"/>
    <col min="3" max="3" width="12" bestFit="1" customWidth="1"/>
    <col min="4" max="4" width="8.5703125" customWidth="1"/>
    <col min="5" max="5" width="21.85546875" customWidth="1"/>
    <col min="6" max="6" width="13.5703125" customWidth="1"/>
    <col min="7" max="7" width="7.140625" bestFit="1" customWidth="1"/>
    <col min="8" max="8" width="11.28515625" bestFit="1" customWidth="1"/>
    <col min="9" max="10" width="19.5703125" bestFit="1" customWidth="1"/>
    <col min="11" max="11" width="15.5703125" bestFit="1" customWidth="1"/>
  </cols>
  <sheetData>
    <row r="2" spans="1:11" x14ac:dyDescent="0.25">
      <c r="A2" s="35" t="s">
        <v>274</v>
      </c>
      <c r="B2" s="35"/>
      <c r="E2" s="35" t="s">
        <v>276</v>
      </c>
      <c r="F2" s="35"/>
      <c r="G2" s="35"/>
      <c r="H2" s="35"/>
      <c r="J2" s="29" t="s">
        <v>265</v>
      </c>
      <c r="K2" s="30" t="s">
        <v>271</v>
      </c>
    </row>
    <row r="3" spans="1:11" x14ac:dyDescent="0.25">
      <c r="A3" s="29" t="s">
        <v>275</v>
      </c>
      <c r="B3" s="30" t="s">
        <v>268</v>
      </c>
      <c r="E3" s="29" t="s">
        <v>277</v>
      </c>
      <c r="F3" s="29" t="s">
        <v>269</v>
      </c>
      <c r="G3" s="30"/>
      <c r="H3" s="30"/>
      <c r="J3" s="31" t="s">
        <v>272</v>
      </c>
      <c r="K3" s="30"/>
    </row>
    <row r="4" spans="1:11" x14ac:dyDescent="0.25">
      <c r="A4" s="31" t="s">
        <v>246</v>
      </c>
      <c r="B4" s="30">
        <v>87938.5</v>
      </c>
      <c r="E4" s="29" t="s">
        <v>275</v>
      </c>
      <c r="F4" s="30" t="s">
        <v>39</v>
      </c>
      <c r="G4" s="30" t="s">
        <v>26</v>
      </c>
      <c r="H4" s="30" t="s">
        <v>267</v>
      </c>
      <c r="J4" s="31" t="s">
        <v>255</v>
      </c>
      <c r="K4" s="30">
        <v>1</v>
      </c>
    </row>
    <row r="5" spans="1:11" x14ac:dyDescent="0.25">
      <c r="A5" s="31" t="s">
        <v>244</v>
      </c>
      <c r="B5" s="30">
        <v>88223.692307692298</v>
      </c>
      <c r="E5" s="31" t="s">
        <v>246</v>
      </c>
      <c r="F5" s="32">
        <v>0.1</v>
      </c>
      <c r="G5" s="32">
        <v>2.1428571428571429E-2</v>
      </c>
      <c r="H5" s="32">
        <v>0.12142857142857143</v>
      </c>
      <c r="J5" s="31" t="s">
        <v>257</v>
      </c>
      <c r="K5" s="30"/>
    </row>
    <row r="6" spans="1:11" x14ac:dyDescent="0.25">
      <c r="A6" s="31" t="s">
        <v>245</v>
      </c>
      <c r="B6" s="30">
        <v>79893.409090909103</v>
      </c>
      <c r="E6" s="31" t="s">
        <v>244</v>
      </c>
      <c r="F6" s="32">
        <v>0.10714285714285714</v>
      </c>
      <c r="G6" s="32">
        <v>1.4285714285714285E-2</v>
      </c>
      <c r="H6" s="32">
        <v>0.12142857142857143</v>
      </c>
      <c r="J6" s="31" t="s">
        <v>254</v>
      </c>
      <c r="K6" s="30"/>
    </row>
    <row r="7" spans="1:11" x14ac:dyDescent="0.25">
      <c r="A7" s="31" t="s">
        <v>247</v>
      </c>
      <c r="B7" s="30">
        <v>86693.133333333331</v>
      </c>
      <c r="E7" s="31" t="s">
        <v>245</v>
      </c>
      <c r="F7" s="32">
        <v>0.2</v>
      </c>
      <c r="G7" s="32">
        <v>4.2857142857142858E-2</v>
      </c>
      <c r="H7" s="32">
        <v>0.24285714285714285</v>
      </c>
      <c r="J7" s="31" t="s">
        <v>258</v>
      </c>
      <c r="K7" s="30"/>
    </row>
    <row r="8" spans="1:11" x14ac:dyDescent="0.25">
      <c r="A8" s="31" t="s">
        <v>249</v>
      </c>
      <c r="B8" s="30">
        <v>77933.083333333343</v>
      </c>
      <c r="E8" s="31" t="s">
        <v>247</v>
      </c>
      <c r="F8" s="32">
        <v>0.11428571428571428</v>
      </c>
      <c r="G8" s="32">
        <v>2.1428571428571429E-2</v>
      </c>
      <c r="H8" s="32">
        <v>0.1357142857142857</v>
      </c>
      <c r="J8" s="31" t="s">
        <v>267</v>
      </c>
      <c r="K8" s="30">
        <v>1</v>
      </c>
    </row>
    <row r="9" spans="1:11" x14ac:dyDescent="0.25">
      <c r="A9" s="31" t="s">
        <v>248</v>
      </c>
      <c r="B9" s="30">
        <v>81083.352941176447</v>
      </c>
      <c r="E9" s="31" t="s">
        <v>249</v>
      </c>
      <c r="F9" s="32">
        <v>0.12857142857142856</v>
      </c>
      <c r="G9" s="32">
        <v>4.2857142857142858E-2</v>
      </c>
      <c r="H9" s="32">
        <v>0.17142857142857143</v>
      </c>
    </row>
    <row r="10" spans="1:11" x14ac:dyDescent="0.25">
      <c r="A10" s="31" t="s">
        <v>266</v>
      </c>
      <c r="B10" s="30"/>
      <c r="E10" s="31" t="s">
        <v>248</v>
      </c>
      <c r="F10" s="32">
        <v>0.17857142857142858</v>
      </c>
      <c r="G10" s="32">
        <v>2.8571428571428571E-2</v>
      </c>
      <c r="H10" s="32">
        <v>0.20714285714285716</v>
      </c>
    </row>
    <row r="11" spans="1:11" x14ac:dyDescent="0.25">
      <c r="A11" s="31" t="s">
        <v>267</v>
      </c>
      <c r="B11" s="33">
        <v>82621.138890333183</v>
      </c>
      <c r="E11" s="31" t="s">
        <v>267</v>
      </c>
      <c r="F11" s="32">
        <v>0.82857142857142863</v>
      </c>
      <c r="G11" s="32">
        <v>0.17142857142857143</v>
      </c>
      <c r="H11" s="32">
        <v>1</v>
      </c>
    </row>
    <row r="16" spans="1:11" x14ac:dyDescent="0.25">
      <c r="A16" s="36" t="s">
        <v>278</v>
      </c>
      <c r="B16" s="37"/>
      <c r="C16" s="37"/>
      <c r="D16" s="37"/>
      <c r="E16" s="37"/>
      <c r="F16" s="38"/>
    </row>
    <row r="17" spans="1:9" x14ac:dyDescent="0.25">
      <c r="A17" s="30"/>
      <c r="B17" s="29" t="s">
        <v>269</v>
      </c>
      <c r="C17" s="30"/>
      <c r="D17" s="30"/>
      <c r="E17" s="30"/>
      <c r="F17" s="30"/>
    </row>
    <row r="18" spans="1:9" x14ac:dyDescent="0.25">
      <c r="A18" s="30"/>
      <c r="B18" s="30" t="s">
        <v>39</v>
      </c>
      <c r="C18" s="30" t="s">
        <v>26</v>
      </c>
      <c r="D18" s="30" t="s">
        <v>94</v>
      </c>
      <c r="E18" s="30" t="s">
        <v>266</v>
      </c>
      <c r="F18" s="30" t="s">
        <v>267</v>
      </c>
    </row>
    <row r="19" spans="1:9" x14ac:dyDescent="0.25">
      <c r="A19" s="30" t="s">
        <v>270</v>
      </c>
      <c r="B19" s="30">
        <v>67.560344827586206</v>
      </c>
      <c r="C19" s="30">
        <v>66.083333333333329</v>
      </c>
      <c r="D19" s="30">
        <v>76.400000000000006</v>
      </c>
      <c r="E19" s="30">
        <v>65</v>
      </c>
      <c r="F19" s="30">
        <v>67.783439490445858</v>
      </c>
    </row>
    <row r="25" spans="1:9" ht="18.75" x14ac:dyDescent="0.4">
      <c r="A25" s="39" t="s">
        <v>279</v>
      </c>
      <c r="B25" s="39"/>
      <c r="C25" s="39"/>
      <c r="D25" s="39"/>
      <c r="E25" s="39"/>
      <c r="F25" s="39"/>
      <c r="G25" s="39"/>
      <c r="H25" s="39"/>
      <c r="I25" s="39"/>
    </row>
  </sheetData>
  <mergeCells count="4">
    <mergeCell ref="E2:H2"/>
    <mergeCell ref="A2:B2"/>
    <mergeCell ref="A16:F16"/>
    <mergeCell ref="A25:I25"/>
  </mergeCells>
  <printOptions gridLines="1"/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workbookViewId="0">
      <selection activeCell="E13" sqref="E13"/>
    </sheetView>
  </sheetViews>
  <sheetFormatPr defaultRowHeight="15" x14ac:dyDescent="0.25"/>
  <cols>
    <col min="1" max="1" width="11.7109375" customWidth="1"/>
    <col min="2" max="2" width="13.28515625" customWidth="1"/>
    <col min="3" max="3" width="12.85546875" customWidth="1"/>
    <col min="4" max="4" width="19.7109375" customWidth="1"/>
    <col min="5" max="5" width="14.140625" customWidth="1"/>
    <col min="6" max="6" width="18.28515625" style="18" bestFit="1" customWidth="1"/>
    <col min="7" max="7" width="12.42578125" style="27" customWidth="1"/>
    <col min="8" max="8" width="13.7109375" customWidth="1"/>
    <col min="9" max="9" width="20.28515625" customWidth="1"/>
    <col min="10" max="10" width="22.5703125" bestFit="1" customWidth="1"/>
    <col min="11" max="11" width="11.42578125" style="13" customWidth="1"/>
    <col min="12" max="12" width="18.140625" customWidth="1"/>
    <col min="13" max="13" width="19.5703125" bestFit="1" customWidth="1"/>
    <col min="14" max="14" width="14.425781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273</v>
      </c>
      <c r="E1" s="2" t="s">
        <v>3</v>
      </c>
      <c r="F1" s="15" t="s">
        <v>4</v>
      </c>
      <c r="G1" s="23" t="s">
        <v>5</v>
      </c>
      <c r="H1" s="2" t="s">
        <v>6</v>
      </c>
      <c r="I1" s="2" t="s">
        <v>7</v>
      </c>
      <c r="J1" s="2" t="s">
        <v>260</v>
      </c>
      <c r="K1" s="10" t="s">
        <v>261</v>
      </c>
      <c r="L1" s="2" t="s">
        <v>262</v>
      </c>
      <c r="M1" s="3" t="s">
        <v>263</v>
      </c>
      <c r="N1" s="9" t="s">
        <v>264</v>
      </c>
    </row>
    <row r="2" spans="1:14" x14ac:dyDescent="0.25">
      <c r="A2" s="19" t="s">
        <v>124</v>
      </c>
      <c r="B2" s="20" t="s">
        <v>24</v>
      </c>
      <c r="C2" s="20" t="s">
        <v>50</v>
      </c>
      <c r="D2" s="4" t="str">
        <f t="shared" ref="D2:D33" si="0">_xlfn.CONCAT(B2," ",C2)</f>
        <v>Thomas Jones</v>
      </c>
      <c r="E2" s="20" t="s">
        <v>15</v>
      </c>
      <c r="F2" s="21" t="s">
        <v>125</v>
      </c>
      <c r="G2" s="24" t="s">
        <v>126</v>
      </c>
      <c r="H2" s="20">
        <v>99</v>
      </c>
      <c r="I2" s="20" t="s">
        <v>39</v>
      </c>
      <c r="J2" s="20" t="str">
        <f>VLOOKUP(E2,Lookup_Departments!$A$2:$A$7:'Lookup_Departments'!$B$2:$B$7,2,FALSE)</f>
        <v>Marketing</v>
      </c>
      <c r="K2" s="22" t="str">
        <f t="shared" ref="K2:K33" si="1">IF(G2=0,AVERAGEIF(J:J,J2,G:G),G2)</f>
        <v>$50,936</v>
      </c>
      <c r="L2" s="20">
        <f t="shared" ref="L2:L33" ca="1" si="2">ROUND(YEARFRAC(F2,TODAY()),2)</f>
        <v>9.6999999999999993</v>
      </c>
      <c r="M2" s="4" t="str">
        <f t="shared" ref="M2:M33" si="3">_xlfn.IFS(H2&lt;=49,"Needs Improvement",H2&lt;=69,"Developing",H2&lt;=84,"Achiving",H2&lt;=94,"Exceeding",H2&lt;=100,"Outstanding")</f>
        <v>Outstanding</v>
      </c>
    </row>
    <row r="3" spans="1:14" x14ac:dyDescent="0.25">
      <c r="A3" s="5" t="s">
        <v>225</v>
      </c>
      <c r="B3" s="6" t="s">
        <v>13</v>
      </c>
      <c r="C3" s="6" t="s">
        <v>46</v>
      </c>
      <c r="D3" s="4" t="str">
        <f t="shared" si="0"/>
        <v>Richard Williams</v>
      </c>
      <c r="E3" s="6" t="s">
        <v>22</v>
      </c>
      <c r="F3" s="16" t="s">
        <v>226</v>
      </c>
      <c r="G3" s="25">
        <v>87938.5</v>
      </c>
      <c r="H3" s="6">
        <v>62</v>
      </c>
      <c r="I3" s="6" t="s">
        <v>39</v>
      </c>
      <c r="J3" s="6" t="str">
        <f>VLOOKUP(E3,Lookup_Departments!$A$2:$A$7:'Lookup_Departments'!$B$2:$B$7,2,FALSE)</f>
        <v>Finance</v>
      </c>
      <c r="K3" s="11">
        <f t="shared" si="1"/>
        <v>87938.5</v>
      </c>
      <c r="L3" s="6">
        <f t="shared" ca="1" si="2"/>
        <v>10.75</v>
      </c>
      <c r="M3" s="4" t="str">
        <f t="shared" si="3"/>
        <v>Developing</v>
      </c>
    </row>
    <row r="4" spans="1:14" x14ac:dyDescent="0.25">
      <c r="A4" s="7" t="s">
        <v>106</v>
      </c>
      <c r="B4" s="8" t="s">
        <v>24</v>
      </c>
      <c r="C4" s="8" t="s">
        <v>35</v>
      </c>
      <c r="D4" s="4" t="str">
        <f t="shared" si="0"/>
        <v>Thomas Rodriguez</v>
      </c>
      <c r="E4" s="8" t="s">
        <v>22</v>
      </c>
      <c r="F4" s="17" t="s">
        <v>107</v>
      </c>
      <c r="G4" s="26">
        <v>55920</v>
      </c>
      <c r="H4" s="8">
        <v>84</v>
      </c>
      <c r="I4" s="8" t="s">
        <v>39</v>
      </c>
      <c r="J4" s="8" t="str">
        <f>VLOOKUP(E4,Lookup_Departments!$A$2:$A$7:'Lookup_Departments'!$B$2:$B$7,2,FALSE)</f>
        <v>Finance</v>
      </c>
      <c r="K4" s="12">
        <f t="shared" si="1"/>
        <v>55920</v>
      </c>
      <c r="L4" s="8">
        <f t="shared" ca="1" si="2"/>
        <v>6.79</v>
      </c>
      <c r="M4" s="4" t="str">
        <f t="shared" si="3"/>
        <v>Achiving</v>
      </c>
    </row>
    <row r="5" spans="1:14" x14ac:dyDescent="0.25">
      <c r="A5" s="7" t="s">
        <v>152</v>
      </c>
      <c r="B5" s="8" t="s">
        <v>20</v>
      </c>
      <c r="C5" s="8" t="s">
        <v>28</v>
      </c>
      <c r="D5" s="4" t="str">
        <f t="shared" si="0"/>
        <v>John Johnson</v>
      </c>
      <c r="E5" s="8" t="s">
        <v>11</v>
      </c>
      <c r="F5" s="17" t="s">
        <v>153</v>
      </c>
      <c r="G5" s="26">
        <v>52287</v>
      </c>
      <c r="H5" s="8">
        <v>70</v>
      </c>
      <c r="I5" s="8" t="s">
        <v>39</v>
      </c>
      <c r="J5" s="8" t="str">
        <f>VLOOKUP(E5,Lookup_Departments!$A$2:$A$7:'Lookup_Departments'!$B$2:$B$7,2,FALSE)</f>
        <v>Information Technology</v>
      </c>
      <c r="K5" s="12">
        <f t="shared" si="1"/>
        <v>52287</v>
      </c>
      <c r="L5" s="8">
        <f t="shared" ca="1" si="2"/>
        <v>2.8</v>
      </c>
      <c r="M5" s="4" t="str">
        <f t="shared" si="3"/>
        <v>Achiving</v>
      </c>
    </row>
    <row r="6" spans="1:14" x14ac:dyDescent="0.25">
      <c r="A6" s="7" t="s">
        <v>146</v>
      </c>
      <c r="B6" s="8" t="s">
        <v>13</v>
      </c>
      <c r="C6" s="8" t="s">
        <v>25</v>
      </c>
      <c r="D6" s="4" t="str">
        <f t="shared" si="0"/>
        <v>Richard Smith</v>
      </c>
      <c r="E6" s="8" t="s">
        <v>79</v>
      </c>
      <c r="F6" s="17" t="s">
        <v>147</v>
      </c>
      <c r="G6" s="26" t="s">
        <v>148</v>
      </c>
      <c r="H6" s="8">
        <v>75</v>
      </c>
      <c r="I6" s="8" t="s">
        <v>39</v>
      </c>
      <c r="J6" s="8" t="str">
        <f>VLOOKUP(E6,Lookup_Departments!$A$2:$A$7:'Lookup_Departments'!$B$2:$B$7,2,FALSE)</f>
        <v>Human Resources</v>
      </c>
      <c r="K6" s="12" t="str">
        <f t="shared" si="1"/>
        <v>$47,694</v>
      </c>
      <c r="L6" s="8">
        <f t="shared" ca="1" si="2"/>
        <v>7.81</v>
      </c>
      <c r="M6" s="4" t="str">
        <f t="shared" si="3"/>
        <v>Achiving</v>
      </c>
    </row>
    <row r="7" spans="1:14" x14ac:dyDescent="0.25">
      <c r="A7" s="7" t="s">
        <v>67</v>
      </c>
      <c r="B7" s="8" t="s">
        <v>20</v>
      </c>
      <c r="C7" s="8" t="s">
        <v>31</v>
      </c>
      <c r="D7" s="4" t="str">
        <f t="shared" si="0"/>
        <v>John Wilson</v>
      </c>
      <c r="E7" s="8" t="s">
        <v>38</v>
      </c>
      <c r="F7" s="17" t="s">
        <v>68</v>
      </c>
      <c r="G7" s="26" t="s">
        <v>69</v>
      </c>
      <c r="H7" s="8">
        <v>88</v>
      </c>
      <c r="I7" s="8" t="s">
        <v>39</v>
      </c>
      <c r="J7" s="8" t="str">
        <f>VLOOKUP(E7,Lookup_Departments!$A$2:$A$7:'Lookup_Departments'!$B$2:$B$7,2,FALSE)</f>
        <v>Sales</v>
      </c>
      <c r="K7" s="12" t="str">
        <f t="shared" si="1"/>
        <v>$77,610</v>
      </c>
      <c r="L7" s="8">
        <f t="shared" ca="1" si="2"/>
        <v>6.83</v>
      </c>
      <c r="M7" s="4" t="str">
        <f t="shared" si="3"/>
        <v>Exceeding</v>
      </c>
    </row>
    <row r="8" spans="1:14" x14ac:dyDescent="0.25">
      <c r="A8" s="5" t="s">
        <v>87</v>
      </c>
      <c r="B8" s="6" t="s">
        <v>77</v>
      </c>
      <c r="C8" s="6" t="s">
        <v>41</v>
      </c>
      <c r="D8" s="4" t="str">
        <f t="shared" si="0"/>
        <v>Sarah Miller</v>
      </c>
      <c r="E8" s="6" t="s">
        <v>29</v>
      </c>
      <c r="F8" s="16" t="s">
        <v>88</v>
      </c>
      <c r="G8" s="25">
        <v>57514</v>
      </c>
      <c r="H8" s="6">
        <v>65</v>
      </c>
      <c r="I8" s="6" t="s">
        <v>39</v>
      </c>
      <c r="J8" s="6" t="str">
        <f>VLOOKUP(E8,Lookup_Departments!$A$2:$A$7:'Lookup_Departments'!$B$2:$B$7,2,FALSE)</f>
        <v>Operations</v>
      </c>
      <c r="K8" s="11">
        <f t="shared" si="1"/>
        <v>57514</v>
      </c>
      <c r="L8" s="6">
        <f t="shared" ca="1" si="2"/>
        <v>8.8699999999999992</v>
      </c>
      <c r="M8" s="4" t="str">
        <f t="shared" si="3"/>
        <v>Developing</v>
      </c>
    </row>
    <row r="9" spans="1:14" x14ac:dyDescent="0.25">
      <c r="A9" s="5" t="s">
        <v>142</v>
      </c>
      <c r="B9" s="6" t="s">
        <v>9</v>
      </c>
      <c r="C9" s="6" t="s">
        <v>41</v>
      </c>
      <c r="D9" s="4" t="str">
        <f t="shared" si="0"/>
        <v>Emily Miller</v>
      </c>
      <c r="E9" s="6" t="s">
        <v>38</v>
      </c>
      <c r="F9" s="16" t="s">
        <v>143</v>
      </c>
      <c r="G9" s="25">
        <v>70359</v>
      </c>
      <c r="H9" s="6">
        <v>74</v>
      </c>
      <c r="I9" s="6" t="s">
        <v>26</v>
      </c>
      <c r="J9" s="6" t="str">
        <f>VLOOKUP(E9,Lookup_Departments!$A$2:$A$7:'Lookup_Departments'!$B$2:$B$7,2,FALSE)</f>
        <v>Sales</v>
      </c>
      <c r="K9" s="11">
        <f t="shared" si="1"/>
        <v>70359</v>
      </c>
      <c r="L9" s="6">
        <f t="shared" ca="1" si="2"/>
        <v>4.88</v>
      </c>
      <c r="M9" s="4" t="str">
        <f t="shared" si="3"/>
        <v>Achiving</v>
      </c>
    </row>
    <row r="10" spans="1:14" x14ac:dyDescent="0.25">
      <c r="A10" s="5" t="s">
        <v>219</v>
      </c>
      <c r="B10" s="6" t="s">
        <v>45</v>
      </c>
      <c r="C10" s="6" t="s">
        <v>110</v>
      </c>
      <c r="D10" s="4" t="str">
        <f t="shared" si="0"/>
        <v>Jane Garcia</v>
      </c>
      <c r="E10" s="6" t="s">
        <v>15</v>
      </c>
      <c r="F10" s="16" t="s">
        <v>220</v>
      </c>
      <c r="G10" s="25">
        <v>83007</v>
      </c>
      <c r="H10" s="6">
        <v>82</v>
      </c>
      <c r="I10" s="6" t="s">
        <v>39</v>
      </c>
      <c r="J10" s="6" t="str">
        <f>VLOOKUP(E10,Lookup_Departments!$A$2:$A$7:'Lookup_Departments'!$B$2:$B$7,2,FALSE)</f>
        <v>Marketing</v>
      </c>
      <c r="K10" s="11">
        <f t="shared" si="1"/>
        <v>83007</v>
      </c>
      <c r="L10" s="6">
        <f t="shared" ca="1" si="2"/>
        <v>4.9000000000000004</v>
      </c>
      <c r="M10" s="4" t="str">
        <f t="shared" si="3"/>
        <v>Achiving</v>
      </c>
    </row>
    <row r="11" spans="1:14" x14ac:dyDescent="0.25">
      <c r="A11" s="7" t="s">
        <v>96</v>
      </c>
      <c r="B11" s="8" t="s">
        <v>60</v>
      </c>
      <c r="C11" s="8" t="s">
        <v>58</v>
      </c>
      <c r="D11" s="4" t="str">
        <f t="shared" si="0"/>
        <v>Amanda Lopez</v>
      </c>
      <c r="E11" s="8" t="s">
        <v>38</v>
      </c>
      <c r="F11" s="17" t="s">
        <v>97</v>
      </c>
      <c r="G11" s="26">
        <v>78402</v>
      </c>
      <c r="H11" s="8">
        <v>54</v>
      </c>
      <c r="I11" s="8" t="s">
        <v>39</v>
      </c>
      <c r="J11" s="8" t="str">
        <f>VLOOKUP(E11,Lookup_Departments!$A$2:$A$7:'Lookup_Departments'!$B$2:$B$7,2,FALSE)</f>
        <v>Sales</v>
      </c>
      <c r="K11" s="12">
        <f t="shared" si="1"/>
        <v>78402</v>
      </c>
      <c r="L11" s="8">
        <f t="shared" ca="1" si="2"/>
        <v>10.02</v>
      </c>
      <c r="M11" s="4" t="str">
        <f t="shared" si="3"/>
        <v>Developing</v>
      </c>
    </row>
    <row r="12" spans="1:14" x14ac:dyDescent="0.25">
      <c r="A12" s="5" t="s">
        <v>192</v>
      </c>
      <c r="B12" s="6" t="s">
        <v>24</v>
      </c>
      <c r="C12" s="6" t="s">
        <v>41</v>
      </c>
      <c r="D12" s="4" t="str">
        <f t="shared" si="0"/>
        <v>Thomas Miller</v>
      </c>
      <c r="E12" s="6" t="s">
        <v>11</v>
      </c>
      <c r="F12" s="16" t="s">
        <v>193</v>
      </c>
      <c r="G12" s="25">
        <v>74370</v>
      </c>
      <c r="H12" s="6">
        <v>82</v>
      </c>
      <c r="I12" s="6" t="s">
        <v>39</v>
      </c>
      <c r="J12" s="6" t="str">
        <f>VLOOKUP(E12,Lookup_Departments!$A$2:$A$7:'Lookup_Departments'!$B$2:$B$7,2,FALSE)</f>
        <v>Information Technology</v>
      </c>
      <c r="K12" s="11">
        <f t="shared" si="1"/>
        <v>74370</v>
      </c>
      <c r="L12" s="6">
        <f t="shared" ca="1" si="2"/>
        <v>10.029999999999999</v>
      </c>
      <c r="M12" s="4" t="str">
        <f t="shared" si="3"/>
        <v>Achiving</v>
      </c>
    </row>
    <row r="13" spans="1:14" x14ac:dyDescent="0.25">
      <c r="A13" s="5" t="s">
        <v>83</v>
      </c>
      <c r="B13" s="6" t="s">
        <v>84</v>
      </c>
      <c r="C13" s="6" t="s">
        <v>10</v>
      </c>
      <c r="D13" s="4" t="str">
        <f t="shared" si="0"/>
        <v>Melissa Brown</v>
      </c>
      <c r="E13" s="6" t="s">
        <v>38</v>
      </c>
      <c r="F13" s="16" t="s">
        <v>85</v>
      </c>
      <c r="G13" s="25">
        <v>69219</v>
      </c>
      <c r="H13" s="6">
        <v>93</v>
      </c>
      <c r="I13" s="6" t="s">
        <v>39</v>
      </c>
      <c r="J13" s="6" t="str">
        <f>VLOOKUP(E13,Lookup_Departments!$A$2:$A$7:'Lookup_Departments'!$B$2:$B$7,2,FALSE)</f>
        <v>Sales</v>
      </c>
      <c r="K13" s="11">
        <f t="shared" si="1"/>
        <v>69219</v>
      </c>
      <c r="L13" s="6">
        <f t="shared" ca="1" si="2"/>
        <v>4.0599999999999996</v>
      </c>
      <c r="M13" s="4" t="str">
        <f t="shared" si="3"/>
        <v>Exceeding</v>
      </c>
    </row>
    <row r="14" spans="1:14" x14ac:dyDescent="0.25">
      <c r="A14" s="7" t="s">
        <v>178</v>
      </c>
      <c r="B14" s="8" t="s">
        <v>9</v>
      </c>
      <c r="C14" s="8" t="s">
        <v>28</v>
      </c>
      <c r="D14" s="4" t="str">
        <f t="shared" si="0"/>
        <v>Emily Johnson</v>
      </c>
      <c r="E14" s="8" t="s">
        <v>29</v>
      </c>
      <c r="F14" s="17" t="s">
        <v>179</v>
      </c>
      <c r="G14" s="26">
        <v>81167</v>
      </c>
      <c r="H14" s="8">
        <v>65</v>
      </c>
      <c r="I14" s="8" t="s">
        <v>39</v>
      </c>
      <c r="J14" s="8" t="str">
        <f>VLOOKUP(E14,Lookup_Departments!$A$2:$A$7:'Lookup_Departments'!$B$2:$B$7,2,FALSE)</f>
        <v>Operations</v>
      </c>
      <c r="K14" s="12">
        <f t="shared" si="1"/>
        <v>81167</v>
      </c>
      <c r="L14" s="8">
        <f t="shared" ca="1" si="2"/>
        <v>10.17</v>
      </c>
      <c r="M14" s="4" t="str">
        <f t="shared" si="3"/>
        <v>Developing</v>
      </c>
    </row>
    <row r="15" spans="1:14" x14ac:dyDescent="0.25">
      <c r="A15" s="7" t="s">
        <v>214</v>
      </c>
      <c r="B15" s="8" t="s">
        <v>77</v>
      </c>
      <c r="C15" s="8" t="s">
        <v>25</v>
      </c>
      <c r="D15" s="4" t="str">
        <f t="shared" si="0"/>
        <v>Sarah Smith</v>
      </c>
      <c r="E15" s="8" t="s">
        <v>38</v>
      </c>
      <c r="F15" s="17" t="s">
        <v>215</v>
      </c>
      <c r="G15" s="26" t="s">
        <v>216</v>
      </c>
      <c r="H15" s="8">
        <v>88</v>
      </c>
      <c r="I15" s="8" t="s">
        <v>94</v>
      </c>
      <c r="J15" s="8" t="str">
        <f>VLOOKUP(E15,Lookup_Departments!$A$2:$A$7:'Lookup_Departments'!$B$2:$B$7,2,FALSE)</f>
        <v>Sales</v>
      </c>
      <c r="K15" s="12" t="str">
        <f t="shared" si="1"/>
        <v>$110,618</v>
      </c>
      <c r="L15" s="8">
        <f t="shared" ca="1" si="2"/>
        <v>3.2</v>
      </c>
      <c r="M15" s="4" t="str">
        <f t="shared" si="3"/>
        <v>Exceeding</v>
      </c>
    </row>
    <row r="16" spans="1:14" x14ac:dyDescent="0.25">
      <c r="A16" s="5" t="s">
        <v>195</v>
      </c>
      <c r="B16" s="6" t="s">
        <v>45</v>
      </c>
      <c r="C16" s="6" t="s">
        <v>41</v>
      </c>
      <c r="D16" s="4" t="str">
        <f t="shared" si="0"/>
        <v>Jane Miller</v>
      </c>
      <c r="E16" s="6" t="s">
        <v>15</v>
      </c>
      <c r="F16" s="16" t="s">
        <v>196</v>
      </c>
      <c r="G16" s="25">
        <v>48748</v>
      </c>
      <c r="H16" s="6">
        <v>83</v>
      </c>
      <c r="I16" s="6" t="s">
        <v>39</v>
      </c>
      <c r="J16" s="6" t="str">
        <f>VLOOKUP(E16,Lookup_Departments!$A$2:$A$7:'Lookup_Departments'!$B$2:$B$7,2,FALSE)</f>
        <v>Marketing</v>
      </c>
      <c r="K16" s="11">
        <f t="shared" si="1"/>
        <v>48748</v>
      </c>
      <c r="L16" s="6">
        <f t="shared" ca="1" si="2"/>
        <v>9.1999999999999993</v>
      </c>
      <c r="M16" s="4" t="str">
        <f t="shared" si="3"/>
        <v>Achiving</v>
      </c>
    </row>
    <row r="17" spans="1:13" x14ac:dyDescent="0.25">
      <c r="A17" s="5" t="s">
        <v>198</v>
      </c>
      <c r="B17" s="6" t="s">
        <v>77</v>
      </c>
      <c r="C17" s="6" t="s">
        <v>35</v>
      </c>
      <c r="D17" s="4" t="str">
        <f t="shared" si="0"/>
        <v>Sarah Rodriguez</v>
      </c>
      <c r="E17" s="6" t="s">
        <v>79</v>
      </c>
      <c r="F17" s="16" t="s">
        <v>199</v>
      </c>
      <c r="G17" s="25">
        <v>115260</v>
      </c>
      <c r="H17" s="6">
        <v>77</v>
      </c>
      <c r="I17" s="6" t="s">
        <v>39</v>
      </c>
      <c r="J17" s="6" t="str">
        <f>VLOOKUP(E17,Lookup_Departments!$A$2:$A$7:'Lookup_Departments'!$B$2:$B$7,2,FALSE)</f>
        <v>Human Resources</v>
      </c>
      <c r="K17" s="11">
        <f t="shared" si="1"/>
        <v>115260</v>
      </c>
      <c r="L17" s="6">
        <f t="shared" ca="1" si="2"/>
        <v>3.26</v>
      </c>
      <c r="M17" s="4" t="str">
        <f t="shared" si="3"/>
        <v>Achiving</v>
      </c>
    </row>
    <row r="18" spans="1:13" x14ac:dyDescent="0.25">
      <c r="A18" s="7" t="s">
        <v>170</v>
      </c>
      <c r="B18" s="8" t="s">
        <v>20</v>
      </c>
      <c r="C18" s="8" t="s">
        <v>50</v>
      </c>
      <c r="D18" s="4" t="str">
        <f t="shared" si="0"/>
        <v>John Jones</v>
      </c>
      <c r="E18" s="8" t="s">
        <v>11</v>
      </c>
      <c r="F18" s="17" t="s">
        <v>171</v>
      </c>
      <c r="G18" s="26">
        <v>79893.409090909088</v>
      </c>
      <c r="H18" s="8">
        <v>33</v>
      </c>
      <c r="I18" s="8" t="s">
        <v>39</v>
      </c>
      <c r="J18" s="8" t="str">
        <f>VLOOKUP(E18,Lookup_Departments!$A$2:$A$7:'Lookup_Departments'!$B$2:$B$7,2,FALSE)</f>
        <v>Information Technology</v>
      </c>
      <c r="K18" s="12">
        <f t="shared" si="1"/>
        <v>79893.409090909088</v>
      </c>
      <c r="L18" s="8">
        <f t="shared" ca="1" si="2"/>
        <v>7.37</v>
      </c>
      <c r="M18" s="4" t="str">
        <f t="shared" si="3"/>
        <v>Needs Improvement</v>
      </c>
    </row>
    <row r="19" spans="1:13" x14ac:dyDescent="0.25">
      <c r="A19" s="7" t="s">
        <v>139</v>
      </c>
      <c r="B19" s="8" t="s">
        <v>45</v>
      </c>
      <c r="C19" s="8" t="s">
        <v>35</v>
      </c>
      <c r="D19" s="4" t="str">
        <f t="shared" si="0"/>
        <v>Jane Rodriguez</v>
      </c>
      <c r="E19" s="8" t="s">
        <v>11</v>
      </c>
      <c r="F19" s="17" t="s">
        <v>140</v>
      </c>
      <c r="G19" s="26" t="s">
        <v>141</v>
      </c>
      <c r="H19" s="8">
        <v>61</v>
      </c>
      <c r="I19" s="8" t="s">
        <v>39</v>
      </c>
      <c r="J19" s="8" t="str">
        <f>VLOOKUP(E19,Lookup_Departments!$A$2:$A$7:'Lookup_Departments'!$B$2:$B$7,2,FALSE)</f>
        <v>Information Technology</v>
      </c>
      <c r="K19" s="12" t="str">
        <f t="shared" si="1"/>
        <v>$86,246</v>
      </c>
      <c r="L19" s="8">
        <f t="shared" ca="1" si="2"/>
        <v>9.43</v>
      </c>
      <c r="M19" s="4" t="str">
        <f t="shared" si="3"/>
        <v>Developing</v>
      </c>
    </row>
    <row r="20" spans="1:13" x14ac:dyDescent="0.25">
      <c r="A20" s="5" t="s">
        <v>114</v>
      </c>
      <c r="B20" s="6" t="s">
        <v>91</v>
      </c>
      <c r="C20" s="6" t="s">
        <v>21</v>
      </c>
      <c r="D20" s="4" t="str">
        <f t="shared" si="0"/>
        <v>David Martinez</v>
      </c>
      <c r="E20" s="6" t="s">
        <v>79</v>
      </c>
      <c r="F20" s="16" t="s">
        <v>115</v>
      </c>
      <c r="G20" s="25">
        <v>91655</v>
      </c>
      <c r="H20" s="6">
        <v>95</v>
      </c>
      <c r="I20" s="6" t="s">
        <v>39</v>
      </c>
      <c r="J20" s="6" t="str">
        <f>VLOOKUP(E20,Lookup_Departments!$A$2:$A$7:'Lookup_Departments'!$B$2:$B$7,2,FALSE)</f>
        <v>Human Resources</v>
      </c>
      <c r="K20" s="11">
        <f t="shared" si="1"/>
        <v>91655</v>
      </c>
      <c r="L20" s="6">
        <f t="shared" ca="1" si="2"/>
        <v>8.4600000000000009</v>
      </c>
      <c r="M20" s="4" t="str">
        <f t="shared" si="3"/>
        <v>Outstanding</v>
      </c>
    </row>
    <row r="21" spans="1:13" x14ac:dyDescent="0.25">
      <c r="A21" s="7" t="s">
        <v>234</v>
      </c>
      <c r="B21" s="8"/>
      <c r="C21" s="8" t="s">
        <v>50</v>
      </c>
      <c r="D21" s="4" t="str">
        <f t="shared" si="0"/>
        <v xml:space="preserve"> Jones</v>
      </c>
      <c r="E21" s="8" t="s">
        <v>11</v>
      </c>
      <c r="F21" s="17" t="s">
        <v>235</v>
      </c>
      <c r="G21" s="26">
        <v>112887</v>
      </c>
      <c r="H21" s="8">
        <v>59</v>
      </c>
      <c r="I21" s="8" t="s">
        <v>39</v>
      </c>
      <c r="J21" s="8" t="str">
        <f>VLOOKUP(E21,Lookup_Departments!$A$2:$A$7:'Lookup_Departments'!$B$2:$B$7,2,FALSE)</f>
        <v>Information Technology</v>
      </c>
      <c r="K21" s="12">
        <f t="shared" si="1"/>
        <v>112887</v>
      </c>
      <c r="L21" s="8">
        <f t="shared" ca="1" si="2"/>
        <v>7.53</v>
      </c>
      <c r="M21" s="4" t="str">
        <f t="shared" si="3"/>
        <v>Developing</v>
      </c>
    </row>
    <row r="22" spans="1:13" x14ac:dyDescent="0.25">
      <c r="A22" s="7" t="s">
        <v>30</v>
      </c>
      <c r="B22" s="8" t="s">
        <v>20</v>
      </c>
      <c r="C22" s="8" t="s">
        <v>31</v>
      </c>
      <c r="D22" s="4" t="str">
        <f t="shared" si="0"/>
        <v>John Wilson</v>
      </c>
      <c r="E22" s="8" t="s">
        <v>29</v>
      </c>
      <c r="F22" s="17">
        <v>45272</v>
      </c>
      <c r="G22" s="26">
        <v>59980</v>
      </c>
      <c r="H22" s="8">
        <v>70</v>
      </c>
      <c r="I22" s="8" t="s">
        <v>26</v>
      </c>
      <c r="J22" s="8" t="str">
        <f>VLOOKUP(E22,Lookup_Departments!$A$2:$A$7:'Lookup_Departments'!$B$2:$B$7,2,FALSE)</f>
        <v>Operations</v>
      </c>
      <c r="K22" s="12">
        <f t="shared" si="1"/>
        <v>59980</v>
      </c>
      <c r="L22" s="8">
        <f t="shared" ca="1" si="2"/>
        <v>2.61</v>
      </c>
      <c r="M22" s="4" t="str">
        <f t="shared" si="3"/>
        <v>Achiving</v>
      </c>
    </row>
    <row r="23" spans="1:13" x14ac:dyDescent="0.25">
      <c r="A23" s="7" t="s">
        <v>116</v>
      </c>
      <c r="B23" s="8" t="s">
        <v>9</v>
      </c>
      <c r="C23" s="8" t="s">
        <v>10</v>
      </c>
      <c r="D23" s="4" t="str">
        <f t="shared" si="0"/>
        <v>Emily Brown</v>
      </c>
      <c r="E23" s="8" t="s">
        <v>11</v>
      </c>
      <c r="F23" s="17">
        <v>45255</v>
      </c>
      <c r="G23" s="26">
        <v>49435</v>
      </c>
      <c r="H23" s="8">
        <v>65</v>
      </c>
      <c r="I23" s="8" t="s">
        <v>26</v>
      </c>
      <c r="J23" s="8" t="str">
        <f>VLOOKUP(E23,Lookup_Departments!$A$2:$A$7:'Lookup_Departments'!$B$2:$B$7,2,FALSE)</f>
        <v>Information Technology</v>
      </c>
      <c r="K23" s="12">
        <f t="shared" si="1"/>
        <v>49435</v>
      </c>
      <c r="L23" s="8">
        <f t="shared" ca="1" si="2"/>
        <v>2.66</v>
      </c>
      <c r="M23" s="4" t="str">
        <f t="shared" si="3"/>
        <v>Developing</v>
      </c>
    </row>
    <row r="24" spans="1:13" x14ac:dyDescent="0.25">
      <c r="A24" s="5" t="s">
        <v>117</v>
      </c>
      <c r="B24" s="6" t="s">
        <v>9</v>
      </c>
      <c r="C24" s="6" t="s">
        <v>31</v>
      </c>
      <c r="D24" s="4" t="str">
        <f t="shared" si="0"/>
        <v>Emily Wilson</v>
      </c>
      <c r="E24" s="6" t="s">
        <v>38</v>
      </c>
      <c r="F24" s="16">
        <v>45217</v>
      </c>
      <c r="G24" s="25">
        <v>110381</v>
      </c>
      <c r="H24" s="6">
        <v>93</v>
      </c>
      <c r="I24" s="6" t="s">
        <v>39</v>
      </c>
      <c r="J24" s="6" t="str">
        <f>VLOOKUP(E24,Lookup_Departments!$A$2:$A$7:'Lookup_Departments'!$B$2:$B$7,2,FALSE)</f>
        <v>Sales</v>
      </c>
      <c r="K24" s="11">
        <f t="shared" si="1"/>
        <v>110381</v>
      </c>
      <c r="L24" s="6">
        <f t="shared" ca="1" si="2"/>
        <v>2.76</v>
      </c>
      <c r="M24" s="4" t="str">
        <f t="shared" si="3"/>
        <v>Exceeding</v>
      </c>
    </row>
    <row r="25" spans="1:13" x14ac:dyDescent="0.25">
      <c r="A25" s="5" t="s">
        <v>75</v>
      </c>
      <c r="B25" s="6" t="s">
        <v>37</v>
      </c>
      <c r="C25" s="6" t="s">
        <v>28</v>
      </c>
      <c r="D25" s="4" t="str">
        <f t="shared" si="0"/>
        <v>Michael Johnson</v>
      </c>
      <c r="E25" s="6" t="s">
        <v>11</v>
      </c>
      <c r="F25" s="16">
        <v>45195</v>
      </c>
      <c r="G25" s="25">
        <v>66069</v>
      </c>
      <c r="H25" s="6">
        <v>72</v>
      </c>
      <c r="I25" s="6" t="s">
        <v>39</v>
      </c>
      <c r="J25" s="6" t="str">
        <f>VLOOKUP(E25,Lookup_Departments!$A$2:$A$7:'Lookup_Departments'!$B$2:$B$7,2,FALSE)</f>
        <v>Information Technology</v>
      </c>
      <c r="K25" s="11">
        <f t="shared" si="1"/>
        <v>66069</v>
      </c>
      <c r="L25" s="6">
        <f t="shared" ca="1" si="2"/>
        <v>2.82</v>
      </c>
      <c r="M25" s="4" t="str">
        <f t="shared" si="3"/>
        <v>Achiving</v>
      </c>
    </row>
    <row r="26" spans="1:13" x14ac:dyDescent="0.25">
      <c r="A26" s="5" t="s">
        <v>149</v>
      </c>
      <c r="B26" s="6" t="s">
        <v>84</v>
      </c>
      <c r="C26" s="6" t="s">
        <v>31</v>
      </c>
      <c r="D26" s="4" t="str">
        <f t="shared" si="0"/>
        <v>Melissa Wilson</v>
      </c>
      <c r="E26" s="6" t="s">
        <v>11</v>
      </c>
      <c r="F26" s="16">
        <v>45171</v>
      </c>
      <c r="G26" s="25">
        <v>83724</v>
      </c>
      <c r="H26" s="6">
        <v>81</v>
      </c>
      <c r="I26" s="6" t="s">
        <v>94</v>
      </c>
      <c r="J26" s="6" t="str">
        <f>VLOOKUP(E26,Lookup_Departments!$A$2:$A$7:'Lookup_Departments'!$B$2:$B$7,2,FALSE)</f>
        <v>Information Technology</v>
      </c>
      <c r="K26" s="11">
        <f t="shared" si="1"/>
        <v>83724</v>
      </c>
      <c r="L26" s="6">
        <f t="shared" ca="1" si="2"/>
        <v>2.89</v>
      </c>
      <c r="M26" s="4" t="str">
        <f t="shared" si="3"/>
        <v>Achiving</v>
      </c>
    </row>
    <row r="27" spans="1:13" x14ac:dyDescent="0.25">
      <c r="A27" s="5" t="s">
        <v>51</v>
      </c>
      <c r="B27" s="6" t="s">
        <v>24</v>
      </c>
      <c r="C27" s="6" t="s">
        <v>35</v>
      </c>
      <c r="D27" s="4" t="str">
        <f t="shared" si="0"/>
        <v>Thomas Rodriguez</v>
      </c>
      <c r="E27" s="6" t="s">
        <v>38</v>
      </c>
      <c r="F27" s="16">
        <v>45169</v>
      </c>
      <c r="G27" s="25">
        <v>65290</v>
      </c>
      <c r="H27" s="6">
        <v>77</v>
      </c>
      <c r="I27" s="6" t="s">
        <v>39</v>
      </c>
      <c r="J27" s="6" t="str">
        <f>VLOOKUP(E27,Lookup_Departments!$A$2:$A$7:'Lookup_Departments'!$B$2:$B$7,2,FALSE)</f>
        <v>Sales</v>
      </c>
      <c r="K27" s="11">
        <f t="shared" si="1"/>
        <v>65290</v>
      </c>
      <c r="L27" s="6">
        <f t="shared" ca="1" si="2"/>
        <v>2.89</v>
      </c>
      <c r="M27" s="4" t="str">
        <f t="shared" si="3"/>
        <v>Achiving</v>
      </c>
    </row>
    <row r="28" spans="1:13" x14ac:dyDescent="0.25">
      <c r="A28" s="5" t="s">
        <v>66</v>
      </c>
      <c r="B28" s="6"/>
      <c r="C28" s="6" t="s">
        <v>46</v>
      </c>
      <c r="D28" s="4" t="str">
        <f t="shared" si="0"/>
        <v xml:space="preserve"> Williams</v>
      </c>
      <c r="E28" s="6" t="s">
        <v>38</v>
      </c>
      <c r="F28" s="16">
        <v>45134</v>
      </c>
      <c r="G28" s="25">
        <v>81205</v>
      </c>
      <c r="H28" s="6">
        <v>59</v>
      </c>
      <c r="I28" s="6" t="s">
        <v>39</v>
      </c>
      <c r="J28" s="6" t="str">
        <f>VLOOKUP(E28,Lookup_Departments!$A$2:$A$7:'Lookup_Departments'!$B$2:$B$7,2,FALSE)</f>
        <v>Sales</v>
      </c>
      <c r="K28" s="11">
        <f t="shared" si="1"/>
        <v>81205</v>
      </c>
      <c r="L28" s="6">
        <f t="shared" ca="1" si="2"/>
        <v>2.99</v>
      </c>
      <c r="M28" s="4" t="str">
        <f t="shared" si="3"/>
        <v>Developing</v>
      </c>
    </row>
    <row r="29" spans="1:13" x14ac:dyDescent="0.25">
      <c r="A29" s="5" t="s">
        <v>111</v>
      </c>
      <c r="B29" s="6" t="s">
        <v>45</v>
      </c>
      <c r="C29" s="6" t="s">
        <v>112</v>
      </c>
      <c r="D29" s="4" t="str">
        <f t="shared" si="0"/>
        <v>Jane Anderson</v>
      </c>
      <c r="E29" s="6" t="s">
        <v>11</v>
      </c>
      <c r="F29" s="16">
        <v>45112</v>
      </c>
      <c r="G29" s="25">
        <v>79893.409090909088</v>
      </c>
      <c r="H29" s="6">
        <v>54</v>
      </c>
      <c r="I29" s="6" t="s">
        <v>39</v>
      </c>
      <c r="J29" s="6" t="str">
        <f>VLOOKUP(E29,Lookup_Departments!$A$2:$A$7:'Lookup_Departments'!$B$2:$B$7,2,FALSE)</f>
        <v>Information Technology</v>
      </c>
      <c r="K29" s="11">
        <f t="shared" si="1"/>
        <v>79893.409090909088</v>
      </c>
      <c r="L29" s="6">
        <f t="shared" ca="1" si="2"/>
        <v>3.05</v>
      </c>
      <c r="M29" s="4" t="str">
        <f t="shared" si="3"/>
        <v>Developing</v>
      </c>
    </row>
    <row r="30" spans="1:13" x14ac:dyDescent="0.25">
      <c r="A30" s="5" t="s">
        <v>19</v>
      </c>
      <c r="B30" s="6" t="s">
        <v>20</v>
      </c>
      <c r="C30" s="6" t="s">
        <v>21</v>
      </c>
      <c r="D30" s="4" t="str">
        <f t="shared" si="0"/>
        <v>John Martinez</v>
      </c>
      <c r="E30" s="6" t="s">
        <v>22</v>
      </c>
      <c r="F30" s="16">
        <v>45110</v>
      </c>
      <c r="G30" s="25">
        <v>103831</v>
      </c>
      <c r="H30" s="6">
        <v>70</v>
      </c>
      <c r="I30" s="6" t="s">
        <v>39</v>
      </c>
      <c r="J30" s="6" t="str">
        <f>VLOOKUP(E30,Lookup_Departments!$A$2:$A$7:'Lookup_Departments'!$B$2:$B$7,2,FALSE)</f>
        <v>Finance</v>
      </c>
      <c r="K30" s="11">
        <f t="shared" si="1"/>
        <v>103831</v>
      </c>
      <c r="L30" s="6">
        <f t="shared" ca="1" si="2"/>
        <v>3.05</v>
      </c>
      <c r="M30" s="4" t="str">
        <f t="shared" si="3"/>
        <v>Achiving</v>
      </c>
    </row>
    <row r="31" spans="1:13" x14ac:dyDescent="0.25">
      <c r="A31" s="5" t="s">
        <v>174</v>
      </c>
      <c r="B31" s="6" t="s">
        <v>133</v>
      </c>
      <c r="C31" s="6" t="s">
        <v>53</v>
      </c>
      <c r="D31" s="4" t="str">
        <f t="shared" si="0"/>
        <v>William Davis</v>
      </c>
      <c r="E31" s="6" t="s">
        <v>11</v>
      </c>
      <c r="F31" s="16">
        <v>45055</v>
      </c>
      <c r="G31" s="25" t="s">
        <v>175</v>
      </c>
      <c r="H31" s="6">
        <v>51</v>
      </c>
      <c r="I31" s="6" t="s">
        <v>39</v>
      </c>
      <c r="J31" s="6" t="str">
        <f>VLOOKUP(E31,Lookup_Departments!$A$2:$A$7:'Lookup_Departments'!$B$2:$B$7,2,FALSE)</f>
        <v>Information Technology</v>
      </c>
      <c r="K31" s="11" t="str">
        <f t="shared" si="1"/>
        <v>$49,942</v>
      </c>
      <c r="L31" s="6">
        <f t="shared" ca="1" si="2"/>
        <v>3.2</v>
      </c>
      <c r="M31" s="4" t="str">
        <f t="shared" si="3"/>
        <v>Developing</v>
      </c>
    </row>
    <row r="32" spans="1:13" x14ac:dyDescent="0.25">
      <c r="A32" s="5" t="s">
        <v>236</v>
      </c>
      <c r="B32" s="6" t="s">
        <v>133</v>
      </c>
      <c r="C32" s="6" t="s">
        <v>35</v>
      </c>
      <c r="D32" s="4" t="str">
        <f t="shared" si="0"/>
        <v>William Rodriguez</v>
      </c>
      <c r="E32" s="6" t="s">
        <v>22</v>
      </c>
      <c r="F32" s="16">
        <v>45037</v>
      </c>
      <c r="G32" s="25">
        <v>85457</v>
      </c>
      <c r="H32" s="6">
        <v>79</v>
      </c>
      <c r="I32" s="6" t="s">
        <v>39</v>
      </c>
      <c r="J32" s="6" t="str">
        <f>VLOOKUP(E32,Lookup_Departments!$A$2:$A$7:'Lookup_Departments'!$B$2:$B$7,2,FALSE)</f>
        <v>Finance</v>
      </c>
      <c r="K32" s="11">
        <f t="shared" si="1"/>
        <v>85457</v>
      </c>
      <c r="L32" s="6">
        <f t="shared" ca="1" si="2"/>
        <v>3.25</v>
      </c>
      <c r="M32" s="4" t="str">
        <f t="shared" si="3"/>
        <v>Achiving</v>
      </c>
    </row>
    <row r="33" spans="1:13" x14ac:dyDescent="0.25">
      <c r="A33" s="5" t="s">
        <v>233</v>
      </c>
      <c r="B33" s="6" t="s">
        <v>13</v>
      </c>
      <c r="C33" s="6" t="s">
        <v>53</v>
      </c>
      <c r="D33" s="4" t="str">
        <f t="shared" si="0"/>
        <v>Richard Davis</v>
      </c>
      <c r="E33" s="6" t="s">
        <v>79</v>
      </c>
      <c r="F33" s="16">
        <v>44991</v>
      </c>
      <c r="G33" s="25">
        <v>106896</v>
      </c>
      <c r="H33" s="6">
        <v>52</v>
      </c>
      <c r="I33" s="6" t="s">
        <v>26</v>
      </c>
      <c r="J33" s="6" t="str">
        <f>VLOOKUP(E33,Lookup_Departments!$A$2:$A$7:'Lookup_Departments'!$B$2:$B$7,2,FALSE)</f>
        <v>Human Resources</v>
      </c>
      <c r="K33" s="11">
        <f t="shared" si="1"/>
        <v>106896</v>
      </c>
      <c r="L33" s="6">
        <f t="shared" ca="1" si="2"/>
        <v>3.38</v>
      </c>
      <c r="M33" s="4" t="str">
        <f t="shared" si="3"/>
        <v>Developing</v>
      </c>
    </row>
    <row r="34" spans="1:13" x14ac:dyDescent="0.25">
      <c r="A34" s="7" t="s">
        <v>23</v>
      </c>
      <c r="B34" s="8" t="s">
        <v>24</v>
      </c>
      <c r="C34" s="8" t="s">
        <v>25</v>
      </c>
      <c r="D34" s="4" t="str">
        <f t="shared" ref="D34:D65" si="4">_xlfn.CONCAT(B34," ",C34)</f>
        <v>Thomas Smith</v>
      </c>
      <c r="E34" s="8" t="s">
        <v>11</v>
      </c>
      <c r="F34" s="17">
        <v>44977</v>
      </c>
      <c r="G34" s="26">
        <v>73785</v>
      </c>
      <c r="H34" s="8">
        <v>40</v>
      </c>
      <c r="I34" s="8" t="s">
        <v>26</v>
      </c>
      <c r="J34" s="8" t="str">
        <f>VLOOKUP(E34,Lookup_Departments!$A$2:$A$7:'Lookup_Departments'!$B$2:$B$7,2,FALSE)</f>
        <v>Information Technology</v>
      </c>
      <c r="K34" s="12">
        <f t="shared" ref="K34:K65" si="5">IF(G34=0,AVERAGEIF(J:J,J34,G:G),G34)</f>
        <v>73785</v>
      </c>
      <c r="L34" s="8">
        <f t="shared" ref="L34:L65" ca="1" si="6">ROUND(YEARFRAC(F34,TODAY()),2)</f>
        <v>3.42</v>
      </c>
      <c r="M34" s="4" t="str">
        <f t="shared" ref="M34:M65" si="7">_xlfn.IFS(H34&lt;=49,"Needs Improvement",H34&lt;=69,"Developing",H34&lt;=84,"Achiving",H34&lt;=94,"Exceeding",H34&lt;=100,"Outstanding")</f>
        <v>Needs Improvement</v>
      </c>
    </row>
    <row r="35" spans="1:13" x14ac:dyDescent="0.25">
      <c r="A35" s="5" t="s">
        <v>203</v>
      </c>
      <c r="B35" s="6" t="s">
        <v>84</v>
      </c>
      <c r="C35" s="6" t="s">
        <v>35</v>
      </c>
      <c r="D35" s="4" t="str">
        <f t="shared" si="4"/>
        <v>Melissa Rodriguez</v>
      </c>
      <c r="E35" s="6" t="s">
        <v>29</v>
      </c>
      <c r="F35" s="16">
        <v>44930</v>
      </c>
      <c r="G35" s="25">
        <v>60623</v>
      </c>
      <c r="H35" s="6">
        <v>78</v>
      </c>
      <c r="I35" s="6" t="s">
        <v>39</v>
      </c>
      <c r="J35" s="6" t="str">
        <f>VLOOKUP(E35,Lookup_Departments!$A$2:$A$7:'Lookup_Departments'!$B$2:$B$7,2,FALSE)</f>
        <v>Operations</v>
      </c>
      <c r="K35" s="11">
        <f t="shared" si="5"/>
        <v>60623</v>
      </c>
      <c r="L35" s="6">
        <f t="shared" ca="1" si="6"/>
        <v>3.55</v>
      </c>
      <c r="M35" s="4" t="str">
        <f t="shared" si="7"/>
        <v>Achiving</v>
      </c>
    </row>
    <row r="36" spans="1:13" x14ac:dyDescent="0.25">
      <c r="A36" s="5" t="s">
        <v>240</v>
      </c>
      <c r="B36" s="6" t="s">
        <v>60</v>
      </c>
      <c r="C36" s="6" t="s">
        <v>10</v>
      </c>
      <c r="D36" s="4" t="str">
        <f t="shared" si="4"/>
        <v>Amanda Brown</v>
      </c>
      <c r="E36" s="6" t="s">
        <v>11</v>
      </c>
      <c r="F36" s="16">
        <v>44848</v>
      </c>
      <c r="G36" s="25" t="s">
        <v>241</v>
      </c>
      <c r="H36" s="6">
        <v>91</v>
      </c>
      <c r="I36" s="6" t="s">
        <v>39</v>
      </c>
      <c r="J36" s="6" t="str">
        <f>VLOOKUP(E36,Lookup_Departments!$A$2:$A$7:'Lookup_Departments'!$B$2:$B$7,2,FALSE)</f>
        <v>Information Technology</v>
      </c>
      <c r="K36" s="11" t="str">
        <f t="shared" si="5"/>
        <v>$118,634</v>
      </c>
      <c r="L36" s="6">
        <f t="shared" ca="1" si="6"/>
        <v>3.77</v>
      </c>
      <c r="M36" s="4" t="str">
        <f t="shared" si="7"/>
        <v>Exceeding</v>
      </c>
    </row>
    <row r="37" spans="1:13" x14ac:dyDescent="0.25">
      <c r="A37" s="7" t="s">
        <v>123</v>
      </c>
      <c r="B37" s="8" t="s">
        <v>24</v>
      </c>
      <c r="C37" s="8" t="s">
        <v>53</v>
      </c>
      <c r="D37" s="4" t="str">
        <f t="shared" si="4"/>
        <v>Thomas Davis</v>
      </c>
      <c r="E37" s="8" t="s">
        <v>29</v>
      </c>
      <c r="F37" s="17">
        <v>44827</v>
      </c>
      <c r="G37" s="26">
        <v>77933.083333333328</v>
      </c>
      <c r="H37" s="8">
        <v>46</v>
      </c>
      <c r="I37" s="8" t="s">
        <v>26</v>
      </c>
      <c r="J37" s="8" t="str">
        <f>VLOOKUP(E37,Lookup_Departments!$A$2:$A$7:'Lookup_Departments'!$B$2:$B$7,2,FALSE)</f>
        <v>Operations</v>
      </c>
      <c r="K37" s="12">
        <f t="shared" si="5"/>
        <v>77933.083333333328</v>
      </c>
      <c r="L37" s="8">
        <f t="shared" ca="1" si="6"/>
        <v>3.83</v>
      </c>
      <c r="M37" s="4" t="str">
        <f t="shared" si="7"/>
        <v>Needs Improvement</v>
      </c>
    </row>
    <row r="38" spans="1:13" x14ac:dyDescent="0.25">
      <c r="A38" s="7" t="s">
        <v>135</v>
      </c>
      <c r="B38" s="8" t="s">
        <v>55</v>
      </c>
      <c r="C38" s="8" t="s">
        <v>17</v>
      </c>
      <c r="D38" s="4" t="str">
        <f t="shared" si="4"/>
        <v>James Gonzalez</v>
      </c>
      <c r="E38" s="8" t="s">
        <v>38</v>
      </c>
      <c r="F38" s="17">
        <v>44819</v>
      </c>
      <c r="G38" s="26">
        <v>81083.352941176476</v>
      </c>
      <c r="H38" s="8">
        <v>65</v>
      </c>
      <c r="I38" s="8" t="s">
        <v>26</v>
      </c>
      <c r="J38" s="8" t="str">
        <f>VLOOKUP(E38,Lookup_Departments!$A$2:$A$7:'Lookup_Departments'!$B$2:$B$7,2,FALSE)</f>
        <v>Sales</v>
      </c>
      <c r="K38" s="12">
        <f t="shared" si="5"/>
        <v>81083.352941176476</v>
      </c>
      <c r="L38" s="8">
        <f t="shared" ca="1" si="6"/>
        <v>3.85</v>
      </c>
      <c r="M38" s="4" t="str">
        <f t="shared" si="7"/>
        <v>Developing</v>
      </c>
    </row>
    <row r="39" spans="1:13" x14ac:dyDescent="0.25">
      <c r="A39" s="7" t="s">
        <v>63</v>
      </c>
      <c r="B39" s="8" t="s">
        <v>37</v>
      </c>
      <c r="C39" s="8" t="s">
        <v>35</v>
      </c>
      <c r="D39" s="4" t="str">
        <f t="shared" si="4"/>
        <v>Michael Rodriguez</v>
      </c>
      <c r="E39" s="8" t="s">
        <v>11</v>
      </c>
      <c r="F39" s="17">
        <v>44815</v>
      </c>
      <c r="G39" s="26">
        <v>93956</v>
      </c>
      <c r="H39" s="8">
        <v>50</v>
      </c>
      <c r="I39" s="8" t="s">
        <v>26</v>
      </c>
      <c r="J39" s="8" t="str">
        <f>VLOOKUP(E39,Lookup_Departments!$A$2:$A$7:'Lookup_Departments'!$B$2:$B$7,2,FALSE)</f>
        <v>Information Technology</v>
      </c>
      <c r="K39" s="12">
        <f t="shared" si="5"/>
        <v>93956</v>
      </c>
      <c r="L39" s="8">
        <f t="shared" ca="1" si="6"/>
        <v>3.86</v>
      </c>
      <c r="M39" s="4" t="str">
        <f t="shared" si="7"/>
        <v>Developing</v>
      </c>
    </row>
    <row r="40" spans="1:13" x14ac:dyDescent="0.25">
      <c r="A40" s="7" t="s">
        <v>82</v>
      </c>
      <c r="B40" s="8" t="s">
        <v>20</v>
      </c>
      <c r="C40" s="8" t="s">
        <v>31</v>
      </c>
      <c r="D40" s="4" t="str">
        <f t="shared" si="4"/>
        <v>John Wilson</v>
      </c>
      <c r="E40" s="8" t="s">
        <v>29</v>
      </c>
      <c r="F40" s="17">
        <v>44776</v>
      </c>
      <c r="G40" s="26">
        <v>111845</v>
      </c>
      <c r="H40" s="8">
        <v>98</v>
      </c>
      <c r="I40" s="8" t="s">
        <v>39</v>
      </c>
      <c r="J40" s="8" t="str">
        <f>VLOOKUP(E40,Lookup_Departments!$A$2:$A$7:'Lookup_Departments'!$B$2:$B$7,2,FALSE)</f>
        <v>Operations</v>
      </c>
      <c r="K40" s="12">
        <f t="shared" si="5"/>
        <v>111845</v>
      </c>
      <c r="L40" s="8">
        <f t="shared" ca="1" si="6"/>
        <v>3.97</v>
      </c>
      <c r="M40" s="4" t="str">
        <f t="shared" si="7"/>
        <v>Outstanding</v>
      </c>
    </row>
    <row r="41" spans="1:13" x14ac:dyDescent="0.25">
      <c r="A41" s="5" t="s">
        <v>70</v>
      </c>
      <c r="B41" s="6" t="s">
        <v>24</v>
      </c>
      <c r="C41" s="6" t="s">
        <v>35</v>
      </c>
      <c r="D41" s="4" t="str">
        <f t="shared" si="4"/>
        <v>Thomas Rodriguez</v>
      </c>
      <c r="E41" s="6" t="s">
        <v>11</v>
      </c>
      <c r="F41" s="16">
        <v>44765</v>
      </c>
      <c r="G41" s="25" t="s">
        <v>71</v>
      </c>
      <c r="H41" s="6">
        <v>90</v>
      </c>
      <c r="I41" s="6" t="s">
        <v>39</v>
      </c>
      <c r="J41" s="6" t="str">
        <f>VLOOKUP(E41,Lookup_Departments!$A$2:$A$7:'Lookup_Departments'!$B$2:$B$7,2,FALSE)</f>
        <v>Information Technology</v>
      </c>
      <c r="K41" s="11" t="str">
        <f t="shared" si="5"/>
        <v>$50,873</v>
      </c>
      <c r="L41" s="6">
        <f t="shared" ca="1" si="6"/>
        <v>4</v>
      </c>
      <c r="M41" s="4" t="str">
        <f t="shared" si="7"/>
        <v>Exceeding</v>
      </c>
    </row>
    <row r="42" spans="1:13" x14ac:dyDescent="0.25">
      <c r="A42" s="7" t="s">
        <v>150</v>
      </c>
      <c r="B42" s="8" t="s">
        <v>24</v>
      </c>
      <c r="C42" s="8" t="s">
        <v>46</v>
      </c>
      <c r="D42" s="4" t="str">
        <f t="shared" si="4"/>
        <v>Thomas Williams</v>
      </c>
      <c r="E42" s="8" t="s">
        <v>22</v>
      </c>
      <c r="F42" s="17">
        <v>44759</v>
      </c>
      <c r="G42" s="26">
        <v>98299</v>
      </c>
      <c r="H42" s="8">
        <v>61</v>
      </c>
      <c r="I42" s="8" t="s">
        <v>39</v>
      </c>
      <c r="J42" s="8" t="str">
        <f>VLOOKUP(E42,Lookup_Departments!$A$2:$A$7:'Lookup_Departments'!$B$2:$B$7,2,FALSE)</f>
        <v>Finance</v>
      </c>
      <c r="K42" s="12">
        <f t="shared" si="5"/>
        <v>98299</v>
      </c>
      <c r="L42" s="8">
        <f t="shared" ca="1" si="6"/>
        <v>4.01</v>
      </c>
      <c r="M42" s="4" t="str">
        <f t="shared" si="7"/>
        <v>Developing</v>
      </c>
    </row>
    <row r="43" spans="1:13" x14ac:dyDescent="0.25">
      <c r="A43" s="7" t="s">
        <v>191</v>
      </c>
      <c r="B43" s="8" t="s">
        <v>49</v>
      </c>
      <c r="C43" s="8" t="s">
        <v>21</v>
      </c>
      <c r="D43" s="4" t="str">
        <f t="shared" si="4"/>
        <v>Robert Martinez</v>
      </c>
      <c r="E43" s="8" t="s">
        <v>11</v>
      </c>
      <c r="F43" s="17">
        <v>44747</v>
      </c>
      <c r="G43" s="26">
        <v>118008</v>
      </c>
      <c r="H43" s="8">
        <v>71</v>
      </c>
      <c r="I43" s="8" t="s">
        <v>39</v>
      </c>
      <c r="J43" s="8" t="str">
        <f>VLOOKUP(E43,Lookup_Departments!$A$2:$A$7:'Lookup_Departments'!$B$2:$B$7,2,FALSE)</f>
        <v>Information Technology</v>
      </c>
      <c r="K43" s="12">
        <f t="shared" si="5"/>
        <v>118008</v>
      </c>
      <c r="L43" s="8">
        <f t="shared" ca="1" si="6"/>
        <v>4.05</v>
      </c>
      <c r="M43" s="4" t="str">
        <f t="shared" si="7"/>
        <v>Achiving</v>
      </c>
    </row>
    <row r="44" spans="1:13" x14ac:dyDescent="0.25">
      <c r="A44" s="7" t="s">
        <v>65</v>
      </c>
      <c r="B44" s="8" t="s">
        <v>57</v>
      </c>
      <c r="C44" s="8" t="s">
        <v>46</v>
      </c>
      <c r="D44" s="4" t="str">
        <f t="shared" si="4"/>
        <v>Ashley Williams</v>
      </c>
      <c r="E44" s="8" t="s">
        <v>38</v>
      </c>
      <c r="F44" s="17">
        <v>44728</v>
      </c>
      <c r="G44" s="26">
        <v>68655</v>
      </c>
      <c r="H44" s="8">
        <v>32</v>
      </c>
      <c r="I44" s="8" t="s">
        <v>39</v>
      </c>
      <c r="J44" s="8" t="str">
        <f>VLOOKUP(E44,Lookup_Departments!$A$2:$A$7:'Lookup_Departments'!$B$2:$B$7,2,FALSE)</f>
        <v>Sales</v>
      </c>
      <c r="K44" s="12">
        <f t="shared" si="5"/>
        <v>68655</v>
      </c>
      <c r="L44" s="8">
        <f t="shared" ca="1" si="6"/>
        <v>4.0999999999999996</v>
      </c>
      <c r="M44" s="4" t="str">
        <f t="shared" si="7"/>
        <v>Needs Improvement</v>
      </c>
    </row>
    <row r="45" spans="1:13" x14ac:dyDescent="0.25">
      <c r="A45" s="5" t="s">
        <v>238</v>
      </c>
      <c r="B45" s="6" t="s">
        <v>9</v>
      </c>
      <c r="C45" s="6" t="s">
        <v>21</v>
      </c>
      <c r="D45" s="4" t="str">
        <f t="shared" si="4"/>
        <v>Emily Martinez</v>
      </c>
      <c r="E45" s="6" t="s">
        <v>29</v>
      </c>
      <c r="F45" s="16">
        <v>44711</v>
      </c>
      <c r="G45" s="25">
        <v>47794</v>
      </c>
      <c r="H45" s="6">
        <v>73</v>
      </c>
      <c r="I45" s="6" t="s">
        <v>26</v>
      </c>
      <c r="J45" s="6" t="str">
        <f>VLOOKUP(E45,Lookup_Departments!$A$2:$A$7:'Lookup_Departments'!$B$2:$B$7,2,FALSE)</f>
        <v>Operations</v>
      </c>
      <c r="K45" s="11">
        <f t="shared" si="5"/>
        <v>47794</v>
      </c>
      <c r="L45" s="6">
        <f t="shared" ca="1" si="6"/>
        <v>4.1399999999999997</v>
      </c>
      <c r="M45" s="4" t="str">
        <f t="shared" si="7"/>
        <v>Achiving</v>
      </c>
    </row>
    <row r="46" spans="1:13" x14ac:dyDescent="0.25">
      <c r="A46" s="7" t="s">
        <v>194</v>
      </c>
      <c r="B46" s="8" t="s">
        <v>91</v>
      </c>
      <c r="C46" s="8" t="s">
        <v>35</v>
      </c>
      <c r="D46" s="4" t="str">
        <f t="shared" si="4"/>
        <v>David Rodriguez</v>
      </c>
      <c r="E46" s="8" t="s">
        <v>11</v>
      </c>
      <c r="F46" s="17">
        <v>44674</v>
      </c>
      <c r="G46" s="26">
        <v>77819</v>
      </c>
      <c r="H46" s="8">
        <v>79</v>
      </c>
      <c r="I46" s="8" t="s">
        <v>39</v>
      </c>
      <c r="J46" s="8" t="str">
        <f>VLOOKUP(E46,Lookup_Departments!$A$2:$A$7:'Lookup_Departments'!$B$2:$B$7,2,FALSE)</f>
        <v>Information Technology</v>
      </c>
      <c r="K46" s="12">
        <f t="shared" si="5"/>
        <v>77819</v>
      </c>
      <c r="L46" s="8">
        <f t="shared" ca="1" si="6"/>
        <v>4.25</v>
      </c>
      <c r="M46" s="4" t="str">
        <f t="shared" si="7"/>
        <v>Achiving</v>
      </c>
    </row>
    <row r="47" spans="1:13" x14ac:dyDescent="0.25">
      <c r="A47" s="5" t="s">
        <v>12</v>
      </c>
      <c r="B47" s="6" t="s">
        <v>13</v>
      </c>
      <c r="C47" s="6" t="s">
        <v>14</v>
      </c>
      <c r="D47" s="4" t="str">
        <f t="shared" si="4"/>
        <v>Richard Hernandez</v>
      </c>
      <c r="E47" s="6" t="s">
        <v>15</v>
      </c>
      <c r="F47" s="16">
        <v>44659</v>
      </c>
      <c r="G47" s="25">
        <v>112673</v>
      </c>
      <c r="H47" s="6">
        <v>65</v>
      </c>
      <c r="I47" s="6" t="s">
        <v>39</v>
      </c>
      <c r="J47" s="6" t="str">
        <f>VLOOKUP(E47,Lookup_Departments!$A$2:$A$7:'Lookup_Departments'!$B$2:$B$7,2,FALSE)</f>
        <v>Marketing</v>
      </c>
      <c r="K47" s="11">
        <f t="shared" si="5"/>
        <v>112673</v>
      </c>
      <c r="L47" s="6">
        <f t="shared" ca="1" si="6"/>
        <v>4.29</v>
      </c>
      <c r="M47" s="4" t="str">
        <f t="shared" si="7"/>
        <v>Developing</v>
      </c>
    </row>
    <row r="48" spans="1:13" x14ac:dyDescent="0.25">
      <c r="A48" s="5" t="s">
        <v>206</v>
      </c>
      <c r="B48" s="6" t="s">
        <v>37</v>
      </c>
      <c r="C48" s="6" t="s">
        <v>31</v>
      </c>
      <c r="D48" s="4" t="str">
        <f t="shared" si="4"/>
        <v>Michael Wilson</v>
      </c>
      <c r="E48" s="6" t="s">
        <v>15</v>
      </c>
      <c r="F48" s="16">
        <v>44653</v>
      </c>
      <c r="G48" s="25">
        <v>88155</v>
      </c>
      <c r="H48" s="6">
        <v>68</v>
      </c>
      <c r="I48" s="6" t="s">
        <v>39</v>
      </c>
      <c r="J48" s="6" t="str">
        <f>VLOOKUP(E48,Lookup_Departments!$A$2:$A$7:'Lookup_Departments'!$B$2:$B$7,2,FALSE)</f>
        <v>Marketing</v>
      </c>
      <c r="K48" s="11">
        <f t="shared" si="5"/>
        <v>88155</v>
      </c>
      <c r="L48" s="6">
        <f t="shared" ca="1" si="6"/>
        <v>4.3099999999999996</v>
      </c>
      <c r="M48" s="4" t="str">
        <f t="shared" si="7"/>
        <v>Developing</v>
      </c>
    </row>
    <row r="49" spans="1:13" x14ac:dyDescent="0.25">
      <c r="A49" s="7" t="s">
        <v>211</v>
      </c>
      <c r="B49" s="8" t="s">
        <v>20</v>
      </c>
      <c r="C49" s="8" t="s">
        <v>21</v>
      </c>
      <c r="D49" s="4" t="str">
        <f t="shared" si="4"/>
        <v>John Martinez</v>
      </c>
      <c r="E49" s="8" t="s">
        <v>79</v>
      </c>
      <c r="F49" s="17">
        <v>44643</v>
      </c>
      <c r="G49" s="26">
        <v>111920</v>
      </c>
      <c r="H49" s="8">
        <v>90</v>
      </c>
      <c r="I49" s="8" t="s">
        <v>26</v>
      </c>
      <c r="J49" s="8" t="str">
        <f>VLOOKUP(E49,Lookup_Departments!$A$2:$A$7:'Lookup_Departments'!$B$2:$B$7,2,FALSE)</f>
        <v>Human Resources</v>
      </c>
      <c r="K49" s="12">
        <f t="shared" si="5"/>
        <v>111920</v>
      </c>
      <c r="L49" s="8">
        <f t="shared" ca="1" si="6"/>
        <v>4.33</v>
      </c>
      <c r="M49" s="4" t="str">
        <f t="shared" si="7"/>
        <v>Exceeding</v>
      </c>
    </row>
    <row r="50" spans="1:13" x14ac:dyDescent="0.25">
      <c r="A50" s="5" t="s">
        <v>217</v>
      </c>
      <c r="B50" s="6" t="s">
        <v>84</v>
      </c>
      <c r="C50" s="6" t="s">
        <v>14</v>
      </c>
      <c r="D50" s="4" t="str">
        <f t="shared" si="4"/>
        <v>Melissa Hernandez</v>
      </c>
      <c r="E50" s="6" t="s">
        <v>29</v>
      </c>
      <c r="F50" s="16">
        <v>44639</v>
      </c>
      <c r="G50" s="25">
        <v>108395</v>
      </c>
      <c r="H50" s="6">
        <v>78</v>
      </c>
      <c r="I50" s="6" t="s">
        <v>26</v>
      </c>
      <c r="J50" s="6" t="str">
        <f>VLOOKUP(E50,Lookup_Departments!$A$2:$A$7:'Lookup_Departments'!$B$2:$B$7,2,FALSE)</f>
        <v>Operations</v>
      </c>
      <c r="K50" s="11">
        <f t="shared" si="5"/>
        <v>108395</v>
      </c>
      <c r="L50" s="6">
        <f t="shared" ca="1" si="6"/>
        <v>4.34</v>
      </c>
      <c r="M50" s="4" t="str">
        <f t="shared" si="7"/>
        <v>Achiving</v>
      </c>
    </row>
    <row r="51" spans="1:13" x14ac:dyDescent="0.25">
      <c r="A51" s="7" t="s">
        <v>104</v>
      </c>
      <c r="B51" s="8" t="s">
        <v>45</v>
      </c>
      <c r="C51" s="8" t="s">
        <v>53</v>
      </c>
      <c r="D51" s="4" t="str">
        <f t="shared" si="4"/>
        <v>Jane Davis</v>
      </c>
      <c r="E51" s="8" t="s">
        <v>79</v>
      </c>
      <c r="F51" s="17">
        <v>44612</v>
      </c>
      <c r="G51" s="26">
        <v>93290</v>
      </c>
      <c r="H51" s="8">
        <v>53</v>
      </c>
      <c r="I51" s="8" t="s">
        <v>39</v>
      </c>
      <c r="J51" s="8" t="str">
        <f>VLOOKUP(E51,Lookup_Departments!$A$2:$A$7:'Lookup_Departments'!$B$2:$B$7,2,FALSE)</f>
        <v>Human Resources</v>
      </c>
      <c r="K51" s="12">
        <f t="shared" si="5"/>
        <v>93290</v>
      </c>
      <c r="L51" s="8">
        <f t="shared" ca="1" si="6"/>
        <v>4.42</v>
      </c>
      <c r="M51" s="4" t="str">
        <f t="shared" si="7"/>
        <v>Developing</v>
      </c>
    </row>
    <row r="52" spans="1:13" x14ac:dyDescent="0.25">
      <c r="A52" s="5" t="s">
        <v>78</v>
      </c>
      <c r="B52" s="6" t="s">
        <v>45</v>
      </c>
      <c r="C52" s="6" t="s">
        <v>21</v>
      </c>
      <c r="D52" s="4" t="str">
        <f t="shared" si="4"/>
        <v>Jane Martinez</v>
      </c>
      <c r="E52" s="6" t="s">
        <v>79</v>
      </c>
      <c r="F52" s="16">
        <v>44578</v>
      </c>
      <c r="G52" s="25">
        <v>59899</v>
      </c>
      <c r="H52" s="6">
        <v>78</v>
      </c>
      <c r="I52" s="6" t="s">
        <v>39</v>
      </c>
      <c r="J52" s="6" t="str">
        <f>VLOOKUP(E52,Lookup_Departments!$A$2:$A$7:'Lookup_Departments'!$B$2:$B$7,2,FALSE)</f>
        <v>Human Resources</v>
      </c>
      <c r="K52" s="11">
        <f t="shared" si="5"/>
        <v>59899</v>
      </c>
      <c r="L52" s="6">
        <f t="shared" ca="1" si="6"/>
        <v>4.51</v>
      </c>
      <c r="M52" s="4" t="str">
        <f t="shared" si="7"/>
        <v>Achiving</v>
      </c>
    </row>
    <row r="53" spans="1:13" x14ac:dyDescent="0.25">
      <c r="A53" s="7" t="s">
        <v>200</v>
      </c>
      <c r="B53" s="8" t="s">
        <v>77</v>
      </c>
      <c r="C53" s="8" t="s">
        <v>31</v>
      </c>
      <c r="D53" s="4" t="str">
        <f t="shared" si="4"/>
        <v>Sarah Wilson</v>
      </c>
      <c r="E53" s="8" t="s">
        <v>38</v>
      </c>
      <c r="F53" s="17">
        <v>44500</v>
      </c>
      <c r="G53" s="26">
        <v>81083.352941176476</v>
      </c>
      <c r="H53" s="8">
        <v>49</v>
      </c>
      <c r="I53" s="8" t="s">
        <v>39</v>
      </c>
      <c r="J53" s="8" t="str">
        <f>VLOOKUP(E53,Lookup_Departments!$A$2:$A$7:'Lookup_Departments'!$B$2:$B$7,2,FALSE)</f>
        <v>Sales</v>
      </c>
      <c r="K53" s="12">
        <f t="shared" si="5"/>
        <v>81083.352941176476</v>
      </c>
      <c r="L53" s="8">
        <f t="shared" ca="1" si="6"/>
        <v>4.7300000000000004</v>
      </c>
      <c r="M53" s="4" t="str">
        <f t="shared" si="7"/>
        <v>Needs Improvement</v>
      </c>
    </row>
    <row r="54" spans="1:13" x14ac:dyDescent="0.25">
      <c r="A54" s="5" t="s">
        <v>201</v>
      </c>
      <c r="B54" s="6" t="s">
        <v>84</v>
      </c>
      <c r="C54" s="6" t="s">
        <v>10</v>
      </c>
      <c r="D54" s="4" t="str">
        <f t="shared" si="4"/>
        <v>Melissa Brown</v>
      </c>
      <c r="E54" s="6" t="s">
        <v>11</v>
      </c>
      <c r="F54" s="16">
        <v>44493</v>
      </c>
      <c r="G54" s="25">
        <v>79893.409090909088</v>
      </c>
      <c r="H54" s="6">
        <v>69</v>
      </c>
      <c r="I54" s="6" t="s">
        <v>26</v>
      </c>
      <c r="J54" s="6" t="str">
        <f>VLOOKUP(E54,Lookup_Departments!$A$2:$A$7:'Lookup_Departments'!$B$2:$B$7,2,FALSE)</f>
        <v>Information Technology</v>
      </c>
      <c r="K54" s="11">
        <f t="shared" si="5"/>
        <v>79893.409090909088</v>
      </c>
      <c r="L54" s="6">
        <f t="shared" ca="1" si="6"/>
        <v>4.74</v>
      </c>
      <c r="M54" s="4" t="str">
        <f t="shared" si="7"/>
        <v>Developing</v>
      </c>
    </row>
    <row r="55" spans="1:13" x14ac:dyDescent="0.25">
      <c r="A55" s="7" t="s">
        <v>168</v>
      </c>
      <c r="B55" s="8" t="s">
        <v>20</v>
      </c>
      <c r="C55" s="8" t="s">
        <v>28</v>
      </c>
      <c r="D55" s="4" t="str">
        <f t="shared" si="4"/>
        <v>John Johnson</v>
      </c>
      <c r="E55" s="8" t="s">
        <v>11</v>
      </c>
      <c r="F55" s="17">
        <v>44482</v>
      </c>
      <c r="G55" s="26">
        <v>73087</v>
      </c>
      <c r="H55" s="8">
        <v>69</v>
      </c>
      <c r="I55" s="8" t="s">
        <v>39</v>
      </c>
      <c r="J55" s="8" t="str">
        <f>VLOOKUP(E55,Lookup_Departments!$A$2:$A$7:'Lookup_Departments'!$B$2:$B$7,2,FALSE)</f>
        <v>Information Technology</v>
      </c>
      <c r="K55" s="12">
        <f t="shared" si="5"/>
        <v>73087</v>
      </c>
      <c r="L55" s="8">
        <f t="shared" ca="1" si="6"/>
        <v>4.78</v>
      </c>
      <c r="M55" s="4" t="str">
        <f t="shared" si="7"/>
        <v>Developing</v>
      </c>
    </row>
    <row r="56" spans="1:13" x14ac:dyDescent="0.25">
      <c r="A56" s="5" t="s">
        <v>100</v>
      </c>
      <c r="B56" s="6" t="s">
        <v>60</v>
      </c>
      <c r="C56" s="6" t="s">
        <v>28</v>
      </c>
      <c r="D56" s="4" t="str">
        <f t="shared" si="4"/>
        <v>Amanda Johnson</v>
      </c>
      <c r="E56" s="6" t="s">
        <v>29</v>
      </c>
      <c r="F56" s="16">
        <v>44437</v>
      </c>
      <c r="G56" s="25">
        <v>99935</v>
      </c>
      <c r="H56" s="6">
        <v>84</v>
      </c>
      <c r="I56" s="6" t="s">
        <v>94</v>
      </c>
      <c r="J56" s="6" t="str">
        <f>VLOOKUP(E56,Lookup_Departments!$A$2:$A$7:'Lookup_Departments'!$B$2:$B$7,2,FALSE)</f>
        <v>Operations</v>
      </c>
      <c r="K56" s="11">
        <f t="shared" si="5"/>
        <v>99935</v>
      </c>
      <c r="L56" s="6">
        <f t="shared" ca="1" si="6"/>
        <v>4.9000000000000004</v>
      </c>
      <c r="M56" s="4" t="str">
        <f t="shared" si="7"/>
        <v>Achiving</v>
      </c>
    </row>
    <row r="57" spans="1:13" x14ac:dyDescent="0.25">
      <c r="A57" s="7" t="s">
        <v>155</v>
      </c>
      <c r="B57" s="8" t="s">
        <v>84</v>
      </c>
      <c r="C57" s="8" t="s">
        <v>112</v>
      </c>
      <c r="D57" s="4" t="str">
        <f t="shared" si="4"/>
        <v>Melissa Anderson</v>
      </c>
      <c r="E57" s="8" t="s">
        <v>29</v>
      </c>
      <c r="F57" s="17">
        <v>44422</v>
      </c>
      <c r="G57" s="26">
        <v>46508</v>
      </c>
      <c r="H57" s="8">
        <v>34</v>
      </c>
      <c r="I57" s="8" t="s">
        <v>39</v>
      </c>
      <c r="J57" s="8" t="str">
        <f>VLOOKUP(E57,Lookup_Departments!$A$2:$A$7:'Lookup_Departments'!$B$2:$B$7,2,FALSE)</f>
        <v>Operations</v>
      </c>
      <c r="K57" s="12">
        <f t="shared" si="5"/>
        <v>46508</v>
      </c>
      <c r="L57" s="8">
        <f t="shared" ca="1" si="6"/>
        <v>4.9400000000000004</v>
      </c>
      <c r="M57" s="4" t="str">
        <f t="shared" si="7"/>
        <v>Needs Improvement</v>
      </c>
    </row>
    <row r="58" spans="1:13" x14ac:dyDescent="0.25">
      <c r="A58" s="7" t="s">
        <v>187</v>
      </c>
      <c r="B58" s="8" t="s">
        <v>24</v>
      </c>
      <c r="C58" s="8" t="s">
        <v>50</v>
      </c>
      <c r="D58" s="4" t="str">
        <f t="shared" si="4"/>
        <v>Thomas Jones</v>
      </c>
      <c r="E58" s="8" t="s">
        <v>29</v>
      </c>
      <c r="F58" s="17">
        <v>44421</v>
      </c>
      <c r="G58" s="26" t="s">
        <v>188</v>
      </c>
      <c r="H58" s="8">
        <v>72</v>
      </c>
      <c r="I58" s="8" t="s">
        <v>39</v>
      </c>
      <c r="J58" s="8" t="str">
        <f>VLOOKUP(E58,Lookup_Departments!$A$2:$A$7:'Lookup_Departments'!$B$2:$B$7,2,FALSE)</f>
        <v>Operations</v>
      </c>
      <c r="K58" s="12" t="str">
        <f t="shared" si="5"/>
        <v>$109,121</v>
      </c>
      <c r="L58" s="8">
        <f t="shared" ca="1" si="6"/>
        <v>4.9400000000000004</v>
      </c>
      <c r="M58" s="4" t="str">
        <f t="shared" si="7"/>
        <v>Achiving</v>
      </c>
    </row>
    <row r="59" spans="1:13" x14ac:dyDescent="0.25">
      <c r="A59" s="7" t="s">
        <v>130</v>
      </c>
      <c r="B59" s="8" t="s">
        <v>84</v>
      </c>
      <c r="C59" s="8" t="s">
        <v>46</v>
      </c>
      <c r="D59" s="4" t="str">
        <f t="shared" si="4"/>
        <v>Melissa Williams</v>
      </c>
      <c r="E59" s="8" t="s">
        <v>79</v>
      </c>
      <c r="F59" s="17">
        <v>44402</v>
      </c>
      <c r="G59" s="26">
        <v>88223.692307692312</v>
      </c>
      <c r="H59" s="8">
        <v>36</v>
      </c>
      <c r="I59" s="8" t="s">
        <v>39</v>
      </c>
      <c r="J59" s="8" t="str">
        <f>VLOOKUP(E59,Lookup_Departments!$A$2:$A$7:'Lookup_Departments'!$B$2:$B$7,2,FALSE)</f>
        <v>Human Resources</v>
      </c>
      <c r="K59" s="12">
        <f t="shared" si="5"/>
        <v>88223.692307692312</v>
      </c>
      <c r="L59" s="8">
        <f t="shared" ca="1" si="6"/>
        <v>4.99</v>
      </c>
      <c r="M59" s="4" t="str">
        <f t="shared" si="7"/>
        <v>Needs Improvement</v>
      </c>
    </row>
    <row r="60" spans="1:13" x14ac:dyDescent="0.25">
      <c r="A60" s="7" t="s">
        <v>181</v>
      </c>
      <c r="B60" s="8" t="s">
        <v>55</v>
      </c>
      <c r="C60" s="8" t="s">
        <v>50</v>
      </c>
      <c r="D60" s="4" t="str">
        <f t="shared" si="4"/>
        <v>James Jones</v>
      </c>
      <c r="E60" s="8" t="s">
        <v>11</v>
      </c>
      <c r="F60" s="17">
        <v>44394</v>
      </c>
      <c r="G60" s="26">
        <v>91672</v>
      </c>
      <c r="H60" s="8">
        <v>88</v>
      </c>
      <c r="I60" s="8" t="s">
        <v>39</v>
      </c>
      <c r="J60" s="8" t="str">
        <f>VLOOKUP(E60,Lookup_Departments!$A$2:$A$7:'Lookup_Departments'!$B$2:$B$7,2,FALSE)</f>
        <v>Information Technology</v>
      </c>
      <c r="K60" s="12">
        <f t="shared" si="5"/>
        <v>91672</v>
      </c>
      <c r="L60" s="8">
        <f t="shared" ca="1" si="6"/>
        <v>5.01</v>
      </c>
      <c r="M60" s="4" t="str">
        <f t="shared" si="7"/>
        <v>Exceeding</v>
      </c>
    </row>
    <row r="61" spans="1:13" x14ac:dyDescent="0.25">
      <c r="A61" s="5" t="s">
        <v>223</v>
      </c>
      <c r="B61" s="6" t="s">
        <v>55</v>
      </c>
      <c r="C61" s="6" t="s">
        <v>31</v>
      </c>
      <c r="D61" s="4" t="str">
        <f t="shared" si="4"/>
        <v>James Wilson</v>
      </c>
      <c r="E61" s="6" t="s">
        <v>38</v>
      </c>
      <c r="F61" s="16">
        <v>44375</v>
      </c>
      <c r="G61" s="25">
        <v>81083.352941176476</v>
      </c>
      <c r="H61" s="6">
        <v>52</v>
      </c>
      <c r="I61" s="6" t="s">
        <v>39</v>
      </c>
      <c r="J61" s="6" t="str">
        <f>VLOOKUP(E61,Lookup_Departments!$A$2:$A$7:'Lookup_Departments'!$B$2:$B$7,2,FALSE)</f>
        <v>Sales</v>
      </c>
      <c r="K61" s="11">
        <f t="shared" si="5"/>
        <v>81083.352941176476</v>
      </c>
      <c r="L61" s="6">
        <f t="shared" ca="1" si="6"/>
        <v>5.07</v>
      </c>
      <c r="M61" s="4" t="str">
        <f t="shared" si="7"/>
        <v>Developing</v>
      </c>
    </row>
    <row r="62" spans="1:13" x14ac:dyDescent="0.25">
      <c r="A62" s="7" t="s">
        <v>44</v>
      </c>
      <c r="B62" s="8" t="s">
        <v>45</v>
      </c>
      <c r="C62" s="8" t="s">
        <v>46</v>
      </c>
      <c r="D62" s="4" t="str">
        <f t="shared" si="4"/>
        <v>Jane Williams</v>
      </c>
      <c r="E62" s="8" t="s">
        <v>15</v>
      </c>
      <c r="F62" s="17">
        <v>44364</v>
      </c>
      <c r="G62" s="26">
        <v>61408</v>
      </c>
      <c r="H62" s="8">
        <v>48</v>
      </c>
      <c r="I62" s="8" t="s">
        <v>39</v>
      </c>
      <c r="J62" s="8" t="str">
        <f>VLOOKUP(E62,Lookup_Departments!$A$2:$A$7:'Lookup_Departments'!$B$2:$B$7,2,FALSE)</f>
        <v>Marketing</v>
      </c>
      <c r="K62" s="12">
        <f t="shared" si="5"/>
        <v>61408</v>
      </c>
      <c r="L62" s="8">
        <f t="shared" ca="1" si="6"/>
        <v>5.0999999999999996</v>
      </c>
      <c r="M62" s="4" t="str">
        <f t="shared" si="7"/>
        <v>Needs Improvement</v>
      </c>
    </row>
    <row r="63" spans="1:13" x14ac:dyDescent="0.25">
      <c r="A63" s="5" t="s">
        <v>62</v>
      </c>
      <c r="B63" s="6" t="s">
        <v>13</v>
      </c>
      <c r="C63" s="6" t="s">
        <v>14</v>
      </c>
      <c r="D63" s="4" t="str">
        <f t="shared" si="4"/>
        <v>Richard Hernandez</v>
      </c>
      <c r="E63" s="6" t="s">
        <v>15</v>
      </c>
      <c r="F63" s="16">
        <v>44353</v>
      </c>
      <c r="G63" s="25">
        <v>107871</v>
      </c>
      <c r="H63" s="6">
        <v>88</v>
      </c>
      <c r="I63" s="6" t="s">
        <v>39</v>
      </c>
      <c r="J63" s="6" t="str">
        <f>VLOOKUP(E63,Lookup_Departments!$A$2:$A$7:'Lookup_Departments'!$B$2:$B$7,2,FALSE)</f>
        <v>Marketing</v>
      </c>
      <c r="K63" s="11">
        <f t="shared" si="5"/>
        <v>107871</v>
      </c>
      <c r="L63" s="6">
        <f t="shared" ca="1" si="6"/>
        <v>5.13</v>
      </c>
      <c r="M63" s="4" t="str">
        <f t="shared" si="7"/>
        <v>Exceeding</v>
      </c>
    </row>
    <row r="64" spans="1:13" x14ac:dyDescent="0.25">
      <c r="A64" s="5" t="s">
        <v>180</v>
      </c>
      <c r="B64" s="6" t="s">
        <v>133</v>
      </c>
      <c r="C64" s="6" t="s">
        <v>46</v>
      </c>
      <c r="D64" s="4" t="str">
        <f t="shared" si="4"/>
        <v>William Williams</v>
      </c>
      <c r="E64" s="6" t="s">
        <v>15</v>
      </c>
      <c r="F64" s="16">
        <v>44349</v>
      </c>
      <c r="G64" s="25">
        <v>66688</v>
      </c>
      <c r="H64" s="6">
        <v>40</v>
      </c>
      <c r="I64" s="6" t="s">
        <v>26</v>
      </c>
      <c r="J64" s="6" t="str">
        <f>VLOOKUP(E64,Lookup_Departments!$A$2:$A$7:'Lookup_Departments'!$B$2:$B$7,2,FALSE)</f>
        <v>Marketing</v>
      </c>
      <c r="K64" s="11">
        <f t="shared" si="5"/>
        <v>66688</v>
      </c>
      <c r="L64" s="6">
        <f t="shared" ca="1" si="6"/>
        <v>5.14</v>
      </c>
      <c r="M64" s="4" t="str">
        <f t="shared" si="7"/>
        <v>Needs Improvement</v>
      </c>
    </row>
    <row r="65" spans="1:13" x14ac:dyDescent="0.25">
      <c r="A65" s="5" t="s">
        <v>151</v>
      </c>
      <c r="B65" s="6" t="s">
        <v>91</v>
      </c>
      <c r="C65" s="6" t="s">
        <v>46</v>
      </c>
      <c r="D65" s="4" t="str">
        <f t="shared" si="4"/>
        <v>David Williams</v>
      </c>
      <c r="E65" s="6" t="s">
        <v>22</v>
      </c>
      <c r="F65" s="16">
        <v>44234</v>
      </c>
      <c r="G65" s="25">
        <v>87938.5</v>
      </c>
      <c r="H65" s="6">
        <v>68</v>
      </c>
      <c r="I65" s="6" t="s">
        <v>39</v>
      </c>
      <c r="J65" s="6" t="str">
        <f>VLOOKUP(E65,Lookup_Departments!$A$2:$A$7:'Lookup_Departments'!$B$2:$B$7,2,FALSE)</f>
        <v>Finance</v>
      </c>
      <c r="K65" s="11">
        <f t="shared" si="5"/>
        <v>87938.5</v>
      </c>
      <c r="L65" s="6">
        <f t="shared" ca="1" si="6"/>
        <v>5.46</v>
      </c>
      <c r="M65" s="4" t="str">
        <f t="shared" si="7"/>
        <v>Developing</v>
      </c>
    </row>
    <row r="66" spans="1:13" x14ac:dyDescent="0.25">
      <c r="A66" s="7" t="s">
        <v>109</v>
      </c>
      <c r="B66" s="8" t="s">
        <v>9</v>
      </c>
      <c r="C66" s="8" t="s">
        <v>110</v>
      </c>
      <c r="D66" s="4" t="str">
        <f t="shared" ref="D66:D97" si="8">_xlfn.CONCAT(B66," ",C66)</f>
        <v>Emily Garcia</v>
      </c>
      <c r="E66" s="8" t="s">
        <v>79</v>
      </c>
      <c r="F66" s="17">
        <v>44189</v>
      </c>
      <c r="G66" s="26">
        <v>118947</v>
      </c>
      <c r="H66" s="8">
        <v>96</v>
      </c>
      <c r="I66" s="8" t="s">
        <v>39</v>
      </c>
      <c r="J66" s="8" t="str">
        <f>VLOOKUP(E66,Lookup_Departments!$A$2:$A$7:'Lookup_Departments'!$B$2:$B$7,2,FALSE)</f>
        <v>Human Resources</v>
      </c>
      <c r="K66" s="12">
        <f t="shared" ref="K66:K97" si="9">IF(G66=0,AVERAGEIF(J:J,J66,G:G),G66)</f>
        <v>118947</v>
      </c>
      <c r="L66" s="8">
        <f t="shared" ref="L66:L97" ca="1" si="10">ROUND(YEARFRAC(F66,TODAY()),2)</f>
        <v>5.58</v>
      </c>
      <c r="M66" s="4" t="str">
        <f t="shared" ref="M66:M97" si="11">_xlfn.IFS(H66&lt;=49,"Needs Improvement",H66&lt;=69,"Developing",H66&lt;=84,"Achiving",H66&lt;=94,"Exceeding",H66&lt;=100,"Outstanding")</f>
        <v>Outstanding</v>
      </c>
    </row>
    <row r="67" spans="1:13" x14ac:dyDescent="0.25">
      <c r="A67" s="5" t="s">
        <v>32</v>
      </c>
      <c r="B67" s="6" t="s">
        <v>33</v>
      </c>
      <c r="C67" s="6" t="s">
        <v>25</v>
      </c>
      <c r="D67" s="4" t="str">
        <f t="shared" si="8"/>
        <v>Jessica Smith</v>
      </c>
      <c r="E67" s="6" t="s">
        <v>29</v>
      </c>
      <c r="F67" s="16">
        <v>44174</v>
      </c>
      <c r="G67" s="25">
        <v>68728</v>
      </c>
      <c r="H67" s="6">
        <v>45</v>
      </c>
      <c r="I67" s="6" t="s">
        <v>39</v>
      </c>
      <c r="J67" s="6" t="str">
        <f>VLOOKUP(E67,Lookup_Departments!$A$2:$A$7:'Lookup_Departments'!$B$2:$B$7,2,FALSE)</f>
        <v>Operations</v>
      </c>
      <c r="K67" s="11">
        <f t="shared" si="9"/>
        <v>68728</v>
      </c>
      <c r="L67" s="6">
        <f t="shared" ca="1" si="10"/>
        <v>5.62</v>
      </c>
      <c r="M67" s="4" t="str">
        <f t="shared" si="11"/>
        <v>Needs Improvement</v>
      </c>
    </row>
    <row r="68" spans="1:13" x14ac:dyDescent="0.25">
      <c r="A68" s="7" t="s">
        <v>113</v>
      </c>
      <c r="B68" s="8" t="s">
        <v>24</v>
      </c>
      <c r="C68" s="8" t="s">
        <v>110</v>
      </c>
      <c r="D68" s="4" t="str">
        <f t="shared" si="8"/>
        <v>Thomas Garcia</v>
      </c>
      <c r="E68" s="8" t="s">
        <v>29</v>
      </c>
      <c r="F68" s="17">
        <v>44148</v>
      </c>
      <c r="G68" s="26">
        <v>77933.083333333328</v>
      </c>
      <c r="H68" s="8">
        <v>75</v>
      </c>
      <c r="I68" s="8" t="s">
        <v>39</v>
      </c>
      <c r="J68" s="8" t="str">
        <f>VLOOKUP(E68,Lookup_Departments!$A$2:$A$7:'Lookup_Departments'!$B$2:$B$7,2,FALSE)</f>
        <v>Operations</v>
      </c>
      <c r="K68" s="12">
        <f t="shared" si="9"/>
        <v>77933.083333333328</v>
      </c>
      <c r="L68" s="8">
        <f t="shared" ca="1" si="10"/>
        <v>5.69</v>
      </c>
      <c r="M68" s="4" t="str">
        <f t="shared" si="11"/>
        <v>Achiving</v>
      </c>
    </row>
    <row r="69" spans="1:13" x14ac:dyDescent="0.25">
      <c r="A69" s="5" t="s">
        <v>169</v>
      </c>
      <c r="B69" s="6" t="s">
        <v>45</v>
      </c>
      <c r="C69" s="6" t="s">
        <v>28</v>
      </c>
      <c r="D69" s="4" t="str">
        <f t="shared" si="8"/>
        <v>Jane Johnson</v>
      </c>
      <c r="E69" s="6" t="s">
        <v>38</v>
      </c>
      <c r="F69" s="16">
        <v>44081</v>
      </c>
      <c r="G69" s="25">
        <v>95292</v>
      </c>
      <c r="H69" s="6">
        <v>34</v>
      </c>
      <c r="I69" s="6" t="s">
        <v>39</v>
      </c>
      <c r="J69" s="6" t="str">
        <f>VLOOKUP(E69,Lookup_Departments!$A$2:$A$7:'Lookup_Departments'!$B$2:$B$7,2,FALSE)</f>
        <v>Sales</v>
      </c>
      <c r="K69" s="11">
        <f t="shared" si="9"/>
        <v>95292</v>
      </c>
      <c r="L69" s="6">
        <f t="shared" ca="1" si="10"/>
        <v>5.88</v>
      </c>
      <c r="M69" s="4" t="str">
        <f t="shared" si="11"/>
        <v>Needs Improvement</v>
      </c>
    </row>
    <row r="70" spans="1:13" x14ac:dyDescent="0.25">
      <c r="A70" s="7" t="s">
        <v>118</v>
      </c>
      <c r="B70" s="8" t="s">
        <v>37</v>
      </c>
      <c r="C70" s="8" t="s">
        <v>112</v>
      </c>
      <c r="D70" s="4" t="str">
        <f t="shared" si="8"/>
        <v>Michael Anderson</v>
      </c>
      <c r="E70" s="8" t="s">
        <v>79</v>
      </c>
      <c r="F70" s="17">
        <v>44079</v>
      </c>
      <c r="G70" s="26">
        <v>114748</v>
      </c>
      <c r="H70" s="8">
        <v>33</v>
      </c>
      <c r="I70" s="8" t="s">
        <v>39</v>
      </c>
      <c r="J70" s="8" t="str">
        <f>VLOOKUP(E70,Lookup_Departments!$A$2:$A$7:'Lookup_Departments'!$B$2:$B$7,2,FALSE)</f>
        <v>Human Resources</v>
      </c>
      <c r="K70" s="12">
        <f t="shared" si="9"/>
        <v>114748</v>
      </c>
      <c r="L70" s="8">
        <f t="shared" ca="1" si="10"/>
        <v>5.88</v>
      </c>
      <c r="M70" s="4" t="str">
        <f t="shared" si="11"/>
        <v>Needs Improvement</v>
      </c>
    </row>
    <row r="71" spans="1:13" x14ac:dyDescent="0.25">
      <c r="A71" s="5" t="s">
        <v>154</v>
      </c>
      <c r="B71" s="6" t="s">
        <v>13</v>
      </c>
      <c r="C71" s="6" t="s">
        <v>17</v>
      </c>
      <c r="D71" s="4" t="str">
        <f t="shared" si="8"/>
        <v>Richard Gonzalez</v>
      </c>
      <c r="E71" s="6" t="s">
        <v>11</v>
      </c>
      <c r="F71" s="16">
        <v>44073</v>
      </c>
      <c r="G71" s="25">
        <v>82633</v>
      </c>
      <c r="H71" s="6">
        <v>98</v>
      </c>
      <c r="I71" s="6" t="s">
        <v>39</v>
      </c>
      <c r="J71" s="6" t="str">
        <f>VLOOKUP(E71,Lookup_Departments!$A$2:$A$7:'Lookup_Departments'!$B$2:$B$7,2,FALSE)</f>
        <v>Information Technology</v>
      </c>
      <c r="K71" s="11">
        <f t="shared" si="9"/>
        <v>82633</v>
      </c>
      <c r="L71" s="6">
        <f t="shared" ca="1" si="10"/>
        <v>5.89</v>
      </c>
      <c r="M71" s="4" t="str">
        <f t="shared" si="11"/>
        <v>Outstanding</v>
      </c>
    </row>
    <row r="72" spans="1:13" x14ac:dyDescent="0.25">
      <c r="A72" s="7" t="s">
        <v>204</v>
      </c>
      <c r="B72" s="8" t="s">
        <v>55</v>
      </c>
      <c r="C72" s="8" t="s">
        <v>28</v>
      </c>
      <c r="D72" s="4" t="str">
        <f t="shared" si="8"/>
        <v>James Johnson</v>
      </c>
      <c r="E72" s="8" t="s">
        <v>79</v>
      </c>
      <c r="F72" s="17">
        <v>44053</v>
      </c>
      <c r="G72" s="26" t="s">
        <v>205</v>
      </c>
      <c r="H72" s="8">
        <v>93</v>
      </c>
      <c r="I72" s="8" t="s">
        <v>39</v>
      </c>
      <c r="J72" s="8" t="str">
        <f>VLOOKUP(E72,Lookup_Departments!$A$2:$A$7:'Lookup_Departments'!$B$2:$B$7,2,FALSE)</f>
        <v>Human Resources</v>
      </c>
      <c r="K72" s="12" t="str">
        <f t="shared" si="9"/>
        <v>$68,092</v>
      </c>
      <c r="L72" s="8">
        <f t="shared" ca="1" si="10"/>
        <v>5.95</v>
      </c>
      <c r="M72" s="4" t="str">
        <f t="shared" si="11"/>
        <v>Exceeding</v>
      </c>
    </row>
    <row r="73" spans="1:13" x14ac:dyDescent="0.25">
      <c r="A73" s="5" t="s">
        <v>47</v>
      </c>
      <c r="B73" s="6" t="s">
        <v>45</v>
      </c>
      <c r="C73" s="6" t="s">
        <v>41</v>
      </c>
      <c r="D73" s="4" t="str">
        <f t="shared" si="8"/>
        <v>Jane Miller</v>
      </c>
      <c r="E73" s="6" t="s">
        <v>15</v>
      </c>
      <c r="F73" s="16">
        <v>44001</v>
      </c>
      <c r="G73" s="25">
        <v>99990</v>
      </c>
      <c r="H73" s="6">
        <v>54</v>
      </c>
      <c r="I73" s="6" t="s">
        <v>39</v>
      </c>
      <c r="J73" s="6" t="str">
        <f>VLOOKUP(E73,Lookup_Departments!$A$2:$A$7:'Lookup_Departments'!$B$2:$B$7,2,FALSE)</f>
        <v>Marketing</v>
      </c>
      <c r="K73" s="11">
        <f t="shared" si="9"/>
        <v>99990</v>
      </c>
      <c r="L73" s="6">
        <f t="shared" ca="1" si="10"/>
        <v>6.09</v>
      </c>
      <c r="M73" s="4" t="str">
        <f t="shared" si="11"/>
        <v>Developing</v>
      </c>
    </row>
    <row r="74" spans="1:13" x14ac:dyDescent="0.25">
      <c r="A74" s="5" t="s">
        <v>189</v>
      </c>
      <c r="B74" s="6" t="s">
        <v>60</v>
      </c>
      <c r="C74" s="6" t="s">
        <v>10</v>
      </c>
      <c r="D74" s="4" t="str">
        <f t="shared" si="8"/>
        <v>Amanda Brown</v>
      </c>
      <c r="E74" s="6" t="s">
        <v>15</v>
      </c>
      <c r="F74" s="16">
        <v>43996</v>
      </c>
      <c r="G74" s="25" t="s">
        <v>190</v>
      </c>
      <c r="H74" s="6">
        <v>87</v>
      </c>
      <c r="I74" s="6" t="s">
        <v>39</v>
      </c>
      <c r="J74" s="6" t="str">
        <f>VLOOKUP(E74,Lookup_Departments!$A$2:$A$7:'Lookup_Departments'!$B$2:$B$7,2,FALSE)</f>
        <v>Marketing</v>
      </c>
      <c r="K74" s="11" t="str">
        <f t="shared" si="9"/>
        <v>$112,791</v>
      </c>
      <c r="L74" s="6">
        <f t="shared" ca="1" si="10"/>
        <v>6.11</v>
      </c>
      <c r="M74" s="4" t="str">
        <f t="shared" si="11"/>
        <v>Exceeding</v>
      </c>
    </row>
    <row r="75" spans="1:13" x14ac:dyDescent="0.25">
      <c r="A75" s="5" t="s">
        <v>102</v>
      </c>
      <c r="B75" s="6" t="s">
        <v>55</v>
      </c>
      <c r="C75" s="6" t="s">
        <v>28</v>
      </c>
      <c r="D75" s="4" t="str">
        <f t="shared" si="8"/>
        <v>James Johnson</v>
      </c>
      <c r="E75" s="6" t="s">
        <v>15</v>
      </c>
      <c r="F75" s="16">
        <v>43981</v>
      </c>
      <c r="G75" s="25" t="s">
        <v>103</v>
      </c>
      <c r="H75" s="6">
        <v>65</v>
      </c>
      <c r="I75" s="6" t="s">
        <v>39</v>
      </c>
      <c r="J75" s="6" t="str">
        <f>VLOOKUP(E75,Lookup_Departments!$A$2:$A$7:'Lookup_Departments'!$B$2:$B$7,2,FALSE)</f>
        <v>Marketing</v>
      </c>
      <c r="K75" s="11" t="str">
        <f t="shared" si="9"/>
        <v>$75,023</v>
      </c>
      <c r="L75" s="6">
        <f t="shared" ca="1" si="10"/>
        <v>6.14</v>
      </c>
      <c r="M75" s="4" t="str">
        <f t="shared" si="11"/>
        <v>Developing</v>
      </c>
    </row>
    <row r="76" spans="1:13" x14ac:dyDescent="0.25">
      <c r="A76" s="7" t="s">
        <v>197</v>
      </c>
      <c r="B76" s="8" t="s">
        <v>55</v>
      </c>
      <c r="C76" s="8" t="s">
        <v>35</v>
      </c>
      <c r="D76" s="4" t="str">
        <f t="shared" si="8"/>
        <v>James Rodriguez</v>
      </c>
      <c r="E76" s="8" t="s">
        <v>29</v>
      </c>
      <c r="F76" s="17">
        <v>43971</v>
      </c>
      <c r="G76" s="26">
        <v>101997</v>
      </c>
      <c r="H76" s="8">
        <v>38</v>
      </c>
      <c r="I76" s="8" t="s">
        <v>94</v>
      </c>
      <c r="J76" s="8" t="str">
        <f>VLOOKUP(E76,Lookup_Departments!$A$2:$A$7:'Lookup_Departments'!$B$2:$B$7,2,FALSE)</f>
        <v>Operations</v>
      </c>
      <c r="K76" s="12">
        <f t="shared" si="9"/>
        <v>101997</v>
      </c>
      <c r="L76" s="8">
        <f t="shared" ca="1" si="10"/>
        <v>6.17</v>
      </c>
      <c r="M76" s="4" t="str">
        <f t="shared" si="11"/>
        <v>Needs Improvement</v>
      </c>
    </row>
    <row r="77" spans="1:13" x14ac:dyDescent="0.25">
      <c r="A77" s="5" t="s">
        <v>90</v>
      </c>
      <c r="B77" s="6" t="s">
        <v>91</v>
      </c>
      <c r="C77" s="6" t="s">
        <v>14</v>
      </c>
      <c r="D77" s="4" t="str">
        <f t="shared" si="8"/>
        <v>David Hernandez</v>
      </c>
      <c r="E77" s="6" t="s">
        <v>38</v>
      </c>
      <c r="F77" s="16">
        <v>43958</v>
      </c>
      <c r="G77" s="25">
        <v>52407</v>
      </c>
      <c r="H77" s="6">
        <v>55</v>
      </c>
      <c r="I77" s="6" t="s">
        <v>39</v>
      </c>
      <c r="J77" s="6" t="str">
        <f>VLOOKUP(E77,Lookup_Departments!$A$2:$A$7:'Lookup_Departments'!$B$2:$B$7,2,FALSE)</f>
        <v>Sales</v>
      </c>
      <c r="K77" s="11">
        <f t="shared" si="9"/>
        <v>52407</v>
      </c>
      <c r="L77" s="6">
        <f t="shared" ca="1" si="10"/>
        <v>6.21</v>
      </c>
      <c r="M77" s="4" t="str">
        <f t="shared" si="11"/>
        <v>Developing</v>
      </c>
    </row>
    <row r="78" spans="1:13" x14ac:dyDescent="0.25">
      <c r="A78" s="7" t="s">
        <v>86</v>
      </c>
      <c r="B78" s="8" t="s">
        <v>37</v>
      </c>
      <c r="C78" s="8" t="s">
        <v>25</v>
      </c>
      <c r="D78" s="4" t="str">
        <f t="shared" si="8"/>
        <v>Michael Smith</v>
      </c>
      <c r="E78" s="8" t="s">
        <v>22</v>
      </c>
      <c r="F78" s="17">
        <v>43949</v>
      </c>
      <c r="G78" s="26">
        <v>87938.5</v>
      </c>
      <c r="H78" s="8">
        <v>80</v>
      </c>
      <c r="I78" s="8" t="s">
        <v>26</v>
      </c>
      <c r="J78" s="8" t="str">
        <f>VLOOKUP(E78,Lookup_Departments!$A$2:$A$7:'Lookup_Departments'!$B$2:$B$7,2,FALSE)</f>
        <v>Finance</v>
      </c>
      <c r="K78" s="12">
        <f t="shared" si="9"/>
        <v>87938.5</v>
      </c>
      <c r="L78" s="8">
        <f t="shared" ca="1" si="10"/>
        <v>6.23</v>
      </c>
      <c r="M78" s="4" t="str">
        <f t="shared" si="11"/>
        <v>Achiving</v>
      </c>
    </row>
    <row r="79" spans="1:13" x14ac:dyDescent="0.25">
      <c r="A79" s="7" t="s">
        <v>40</v>
      </c>
      <c r="B79" s="8" t="s">
        <v>9</v>
      </c>
      <c r="C79" s="8" t="s">
        <v>41</v>
      </c>
      <c r="D79" s="4" t="str">
        <f t="shared" si="8"/>
        <v>Emily Miller</v>
      </c>
      <c r="E79" s="8" t="s">
        <v>38</v>
      </c>
      <c r="F79" s="17">
        <v>43911</v>
      </c>
      <c r="G79" s="26" t="s">
        <v>42</v>
      </c>
      <c r="H79" s="8">
        <v>49</v>
      </c>
      <c r="I79" s="8" t="s">
        <v>39</v>
      </c>
      <c r="J79" s="8" t="str">
        <f>VLOOKUP(E79,Lookup_Departments!$A$2:$A$7:'Lookup_Departments'!$B$2:$B$7,2,FALSE)</f>
        <v>Sales</v>
      </c>
      <c r="K79" s="12" t="str">
        <f t="shared" si="9"/>
        <v>$118,635</v>
      </c>
      <c r="L79" s="8">
        <f t="shared" ca="1" si="10"/>
        <v>6.34</v>
      </c>
      <c r="M79" s="4" t="str">
        <f t="shared" si="11"/>
        <v>Needs Improvement</v>
      </c>
    </row>
    <row r="80" spans="1:13" x14ac:dyDescent="0.25">
      <c r="A80" s="5" t="s">
        <v>27</v>
      </c>
      <c r="B80" s="6" t="s">
        <v>9</v>
      </c>
      <c r="C80" s="6" t="s">
        <v>28</v>
      </c>
      <c r="D80" s="4" t="str">
        <f t="shared" si="8"/>
        <v>Emily Johnson</v>
      </c>
      <c r="E80" s="6" t="s">
        <v>29</v>
      </c>
      <c r="F80" s="16">
        <v>43892</v>
      </c>
      <c r="G80" s="25">
        <v>115882</v>
      </c>
      <c r="H80" s="6">
        <v>49</v>
      </c>
      <c r="I80" s="6" t="s">
        <v>39</v>
      </c>
      <c r="J80" s="6" t="str">
        <f>VLOOKUP(E80,Lookup_Departments!$A$2:$A$7:'Lookup_Departments'!$B$2:$B$7,2,FALSE)</f>
        <v>Operations</v>
      </c>
      <c r="K80" s="11">
        <f t="shared" si="9"/>
        <v>115882</v>
      </c>
      <c r="L80" s="6">
        <f t="shared" ca="1" si="10"/>
        <v>6.39</v>
      </c>
      <c r="M80" s="4" t="str">
        <f t="shared" si="11"/>
        <v>Needs Improvement</v>
      </c>
    </row>
    <row r="81" spans="1:13" x14ac:dyDescent="0.25">
      <c r="A81" s="7" t="s">
        <v>232</v>
      </c>
      <c r="B81" s="8" t="s">
        <v>20</v>
      </c>
      <c r="C81" s="8" t="s">
        <v>53</v>
      </c>
      <c r="D81" s="4" t="str">
        <f t="shared" si="8"/>
        <v>John Davis</v>
      </c>
      <c r="E81" s="8" t="s">
        <v>11</v>
      </c>
      <c r="F81" s="17">
        <v>43887</v>
      </c>
      <c r="G81" s="26">
        <v>79893.409090909088</v>
      </c>
      <c r="H81" s="8">
        <v>96</v>
      </c>
      <c r="I81" s="8" t="s">
        <v>39</v>
      </c>
      <c r="J81" s="8" t="str">
        <f>VLOOKUP(E81,Lookup_Departments!$A$2:$A$7:'Lookup_Departments'!$B$2:$B$7,2,FALSE)</f>
        <v>Information Technology</v>
      </c>
      <c r="K81" s="12">
        <f t="shared" si="9"/>
        <v>79893.409090909088</v>
      </c>
      <c r="L81" s="8">
        <f t="shared" ca="1" si="10"/>
        <v>6.41</v>
      </c>
      <c r="M81" s="4" t="str">
        <f t="shared" si="11"/>
        <v>Outstanding</v>
      </c>
    </row>
    <row r="82" spans="1:13" x14ac:dyDescent="0.25">
      <c r="A82" s="5" t="s">
        <v>177</v>
      </c>
      <c r="B82" s="6" t="s">
        <v>55</v>
      </c>
      <c r="C82" s="6" t="s">
        <v>17</v>
      </c>
      <c r="D82" s="4" t="str">
        <f t="shared" si="8"/>
        <v>James Gonzalez</v>
      </c>
      <c r="E82" s="6" t="s">
        <v>11</v>
      </c>
      <c r="F82" s="16">
        <v>43879</v>
      </c>
      <c r="G82" s="25">
        <v>53786</v>
      </c>
      <c r="H82" s="6">
        <v>98</v>
      </c>
      <c r="I82" s="6" t="s">
        <v>39</v>
      </c>
      <c r="J82" s="6" t="str">
        <f>VLOOKUP(E82,Lookup_Departments!$A$2:$A$7:'Lookup_Departments'!$B$2:$B$7,2,FALSE)</f>
        <v>Information Technology</v>
      </c>
      <c r="K82" s="11">
        <f t="shared" si="9"/>
        <v>53786</v>
      </c>
      <c r="L82" s="6">
        <f t="shared" ca="1" si="10"/>
        <v>6.43</v>
      </c>
      <c r="M82" s="4" t="str">
        <f t="shared" si="11"/>
        <v>Outstanding</v>
      </c>
    </row>
    <row r="83" spans="1:13" x14ac:dyDescent="0.25">
      <c r="A83" s="7" t="s">
        <v>48</v>
      </c>
      <c r="B83" s="8" t="s">
        <v>49</v>
      </c>
      <c r="C83" s="8" t="s">
        <v>50</v>
      </c>
      <c r="D83" s="4" t="str">
        <f t="shared" si="8"/>
        <v>Robert Jones</v>
      </c>
      <c r="E83" s="8" t="s">
        <v>15</v>
      </c>
      <c r="F83" s="17">
        <v>43820</v>
      </c>
      <c r="G83" s="26">
        <v>80385</v>
      </c>
      <c r="H83" s="8">
        <v>65</v>
      </c>
      <c r="I83" s="8" t="s">
        <v>39</v>
      </c>
      <c r="J83" s="8" t="str">
        <f>VLOOKUP(E83,Lookup_Departments!$A$2:$A$7:'Lookup_Departments'!$B$2:$B$7,2,FALSE)</f>
        <v>Marketing</v>
      </c>
      <c r="K83" s="12">
        <f t="shared" si="9"/>
        <v>80385</v>
      </c>
      <c r="L83" s="8">
        <f t="shared" ca="1" si="10"/>
        <v>6.59</v>
      </c>
      <c r="M83" s="4" t="str">
        <f t="shared" si="11"/>
        <v>Developing</v>
      </c>
    </row>
    <row r="84" spans="1:13" x14ac:dyDescent="0.25">
      <c r="A84" s="5" t="s">
        <v>156</v>
      </c>
      <c r="B84" s="6" t="s">
        <v>9</v>
      </c>
      <c r="C84" s="6" t="s">
        <v>17</v>
      </c>
      <c r="D84" s="4" t="str">
        <f t="shared" si="8"/>
        <v>Emily Gonzalez</v>
      </c>
      <c r="E84" s="6" t="s">
        <v>79</v>
      </c>
      <c r="F84" s="16">
        <v>43796</v>
      </c>
      <c r="G84" s="25">
        <v>86232</v>
      </c>
      <c r="H84" s="6">
        <v>93</v>
      </c>
      <c r="I84" s="6" t="s">
        <v>39</v>
      </c>
      <c r="J84" s="6" t="str">
        <f>VLOOKUP(E84,Lookup_Departments!$A$2:$A$7:'Lookup_Departments'!$B$2:$B$7,2,FALSE)</f>
        <v>Human Resources</v>
      </c>
      <c r="K84" s="11">
        <f t="shared" si="9"/>
        <v>86232</v>
      </c>
      <c r="L84" s="6">
        <f t="shared" ca="1" si="10"/>
        <v>6.65</v>
      </c>
      <c r="M84" s="4" t="str">
        <f t="shared" si="11"/>
        <v>Exceeding</v>
      </c>
    </row>
    <row r="85" spans="1:13" x14ac:dyDescent="0.25">
      <c r="A85" s="5" t="s">
        <v>95</v>
      </c>
      <c r="B85" s="6" t="s">
        <v>77</v>
      </c>
      <c r="C85" s="6" t="s">
        <v>46</v>
      </c>
      <c r="D85" s="4" t="str">
        <f t="shared" si="8"/>
        <v>Sarah Williams</v>
      </c>
      <c r="E85" s="6" t="s">
        <v>11</v>
      </c>
      <c r="F85" s="16">
        <v>43686</v>
      </c>
      <c r="G85" s="25">
        <v>81896</v>
      </c>
      <c r="H85" s="6">
        <v>79</v>
      </c>
      <c r="I85" s="6" t="s">
        <v>94</v>
      </c>
      <c r="J85" s="6" t="str">
        <f>VLOOKUP(E85,Lookup_Departments!$A$2:$A$7:'Lookup_Departments'!$B$2:$B$7,2,FALSE)</f>
        <v>Information Technology</v>
      </c>
      <c r="K85" s="11">
        <f t="shared" si="9"/>
        <v>81896</v>
      </c>
      <c r="L85" s="6">
        <f t="shared" ca="1" si="10"/>
        <v>6.95</v>
      </c>
      <c r="M85" s="4" t="str">
        <f t="shared" si="11"/>
        <v>Achiving</v>
      </c>
    </row>
    <row r="86" spans="1:13" x14ac:dyDescent="0.25">
      <c r="A86" s="7" t="s">
        <v>99</v>
      </c>
      <c r="B86" s="8" t="s">
        <v>84</v>
      </c>
      <c r="C86" s="8" t="s">
        <v>28</v>
      </c>
      <c r="D86" s="4" t="str">
        <f t="shared" si="8"/>
        <v>Melissa Johnson</v>
      </c>
      <c r="E86" s="8" t="s">
        <v>15</v>
      </c>
      <c r="F86" s="17">
        <v>43656</v>
      </c>
      <c r="G86" s="26">
        <v>91749</v>
      </c>
      <c r="H86" s="8">
        <v>72</v>
      </c>
      <c r="I86" s="8" t="s">
        <v>26</v>
      </c>
      <c r="J86" s="8" t="str">
        <f>VLOOKUP(E86,Lookup_Departments!$A$2:$A$7:'Lookup_Departments'!$B$2:$B$7,2,FALSE)</f>
        <v>Marketing</v>
      </c>
      <c r="K86" s="12">
        <f t="shared" si="9"/>
        <v>91749</v>
      </c>
      <c r="L86" s="8">
        <f t="shared" ca="1" si="10"/>
        <v>7.03</v>
      </c>
      <c r="M86" s="4" t="str">
        <f t="shared" si="11"/>
        <v>Achiving</v>
      </c>
    </row>
    <row r="87" spans="1:13" x14ac:dyDescent="0.25">
      <c r="A87" s="7" t="s">
        <v>160</v>
      </c>
      <c r="B87" s="8" t="s">
        <v>24</v>
      </c>
      <c r="C87" s="8" t="s">
        <v>50</v>
      </c>
      <c r="D87" s="4" t="str">
        <f t="shared" si="8"/>
        <v>Thomas Jones</v>
      </c>
      <c r="E87" s="8" t="s">
        <v>22</v>
      </c>
      <c r="F87" s="17">
        <v>43639</v>
      </c>
      <c r="G87" s="26">
        <v>83932</v>
      </c>
      <c r="H87" s="8">
        <v>57</v>
      </c>
      <c r="I87" s="8" t="s">
        <v>26</v>
      </c>
      <c r="J87" s="8" t="str">
        <f>VLOOKUP(E87,Lookup_Departments!$A$2:$A$7:'Lookup_Departments'!$B$2:$B$7,2,FALSE)</f>
        <v>Finance</v>
      </c>
      <c r="K87" s="12">
        <f t="shared" si="9"/>
        <v>83932</v>
      </c>
      <c r="L87" s="8">
        <f t="shared" ca="1" si="10"/>
        <v>7.08</v>
      </c>
      <c r="M87" s="4" t="str">
        <f t="shared" si="11"/>
        <v>Developing</v>
      </c>
    </row>
    <row r="88" spans="1:13" x14ac:dyDescent="0.25">
      <c r="A88" s="7" t="s">
        <v>76</v>
      </c>
      <c r="B88" s="8" t="s">
        <v>77</v>
      </c>
      <c r="C88" s="8" t="s">
        <v>10</v>
      </c>
      <c r="D88" s="4" t="str">
        <f t="shared" si="8"/>
        <v>Sarah Brown</v>
      </c>
      <c r="E88" s="8" t="s">
        <v>11</v>
      </c>
      <c r="F88" s="17">
        <v>43626</v>
      </c>
      <c r="G88" s="26">
        <v>90157</v>
      </c>
      <c r="H88" s="8">
        <v>58</v>
      </c>
      <c r="I88" s="8" t="s">
        <v>39</v>
      </c>
      <c r="J88" s="8" t="str">
        <f>VLOOKUP(E88,Lookup_Departments!$A$2:$A$7:'Lookup_Departments'!$B$2:$B$7,2,FALSE)</f>
        <v>Information Technology</v>
      </c>
      <c r="K88" s="12">
        <f t="shared" si="9"/>
        <v>90157</v>
      </c>
      <c r="L88" s="8">
        <f t="shared" ca="1" si="10"/>
        <v>7.12</v>
      </c>
      <c r="M88" s="4" t="str">
        <f t="shared" si="11"/>
        <v>Developing</v>
      </c>
    </row>
    <row r="89" spans="1:13" x14ac:dyDescent="0.25">
      <c r="A89" s="5" t="s">
        <v>230</v>
      </c>
      <c r="B89" s="6" t="s">
        <v>84</v>
      </c>
      <c r="C89" s="6" t="s">
        <v>14</v>
      </c>
      <c r="D89" s="4" t="str">
        <f t="shared" si="8"/>
        <v>Melissa Hernandez</v>
      </c>
      <c r="E89" s="6" t="s">
        <v>29</v>
      </c>
      <c r="F89" s="16">
        <v>43609</v>
      </c>
      <c r="G89" s="25" t="s">
        <v>231</v>
      </c>
      <c r="H89" s="6">
        <v>57</v>
      </c>
      <c r="I89" s="6" t="s">
        <v>94</v>
      </c>
      <c r="J89" s="6" t="str">
        <f>VLOOKUP(E89,Lookup_Departments!$A$2:$A$7:'Lookup_Departments'!$B$2:$B$7,2,FALSE)</f>
        <v>Operations</v>
      </c>
      <c r="K89" s="11" t="str">
        <f t="shared" si="9"/>
        <v>$108,119</v>
      </c>
      <c r="L89" s="6">
        <f t="shared" ca="1" si="10"/>
        <v>7.16</v>
      </c>
      <c r="M89" s="4" t="str">
        <f t="shared" si="11"/>
        <v>Developing</v>
      </c>
    </row>
    <row r="90" spans="1:13" x14ac:dyDescent="0.25">
      <c r="A90" s="7" t="s">
        <v>144</v>
      </c>
      <c r="B90" s="8" t="s">
        <v>77</v>
      </c>
      <c r="C90" s="8" t="s">
        <v>41</v>
      </c>
      <c r="D90" s="4" t="str">
        <f t="shared" si="8"/>
        <v>Sarah Miller</v>
      </c>
      <c r="E90" s="8" t="s">
        <v>15</v>
      </c>
      <c r="F90" s="17">
        <v>43599</v>
      </c>
      <c r="G90" s="26">
        <v>86693.133333333331</v>
      </c>
      <c r="H90" s="8">
        <v>94</v>
      </c>
      <c r="I90" s="8" t="s">
        <v>39</v>
      </c>
      <c r="J90" s="8" t="str">
        <f>VLOOKUP(E90,Lookup_Departments!$A$2:$A$7:'Lookup_Departments'!$B$2:$B$7,2,FALSE)</f>
        <v>Marketing</v>
      </c>
      <c r="K90" s="12">
        <f t="shared" si="9"/>
        <v>86693.133333333331</v>
      </c>
      <c r="L90" s="8">
        <f t="shared" ca="1" si="10"/>
        <v>7.19</v>
      </c>
      <c r="M90" s="4" t="str">
        <f t="shared" si="11"/>
        <v>Exceeding</v>
      </c>
    </row>
    <row r="91" spans="1:13" x14ac:dyDescent="0.25">
      <c r="A91" s="5" t="s">
        <v>129</v>
      </c>
      <c r="B91" s="6" t="s">
        <v>13</v>
      </c>
      <c r="C91" s="6" t="s">
        <v>17</v>
      </c>
      <c r="D91" s="4" t="str">
        <f t="shared" si="8"/>
        <v>Richard Gonzalez</v>
      </c>
      <c r="E91" s="6" t="s">
        <v>79</v>
      </c>
      <c r="F91" s="16">
        <v>43590</v>
      </c>
      <c r="G91" s="25">
        <v>51567</v>
      </c>
      <c r="H91" s="6">
        <v>87</v>
      </c>
      <c r="I91" s="6" t="s">
        <v>94</v>
      </c>
      <c r="J91" s="6" t="str">
        <f>VLOOKUP(E91,Lookup_Departments!$A$2:$A$7:'Lookup_Departments'!$B$2:$B$7,2,FALSE)</f>
        <v>Human Resources</v>
      </c>
      <c r="K91" s="11">
        <f t="shared" si="9"/>
        <v>51567</v>
      </c>
      <c r="L91" s="6">
        <f t="shared" ca="1" si="10"/>
        <v>7.21</v>
      </c>
      <c r="M91" s="4" t="str">
        <f t="shared" si="11"/>
        <v>Exceeding</v>
      </c>
    </row>
    <row r="92" spans="1:13" x14ac:dyDescent="0.25">
      <c r="A92" s="5" t="s">
        <v>138</v>
      </c>
      <c r="B92" s="6" t="s">
        <v>45</v>
      </c>
      <c r="C92" s="6" t="s">
        <v>17</v>
      </c>
      <c r="D92" s="4" t="str">
        <f t="shared" si="8"/>
        <v>Jane Gonzalez</v>
      </c>
      <c r="E92" s="6" t="s">
        <v>22</v>
      </c>
      <c r="F92" s="16">
        <v>43575</v>
      </c>
      <c r="G92" s="25">
        <v>45196</v>
      </c>
      <c r="H92" s="6">
        <v>78</v>
      </c>
      <c r="I92" s="6" t="s">
        <v>26</v>
      </c>
      <c r="J92" s="6" t="str">
        <f>VLOOKUP(E92,Lookup_Departments!$A$2:$A$7:'Lookup_Departments'!$B$2:$B$7,2,FALSE)</f>
        <v>Finance</v>
      </c>
      <c r="K92" s="11">
        <f t="shared" si="9"/>
        <v>45196</v>
      </c>
      <c r="L92" s="6">
        <f t="shared" ca="1" si="10"/>
        <v>7.26</v>
      </c>
      <c r="M92" s="4" t="str">
        <f t="shared" si="11"/>
        <v>Achiving</v>
      </c>
    </row>
    <row r="93" spans="1:13" x14ac:dyDescent="0.25">
      <c r="A93" s="7" t="s">
        <v>92</v>
      </c>
      <c r="B93" s="8" t="s">
        <v>55</v>
      </c>
      <c r="C93" s="8" t="s">
        <v>25</v>
      </c>
      <c r="D93" s="4" t="str">
        <f t="shared" si="8"/>
        <v>James Smith</v>
      </c>
      <c r="E93" s="8" t="s">
        <v>29</v>
      </c>
      <c r="F93" s="17">
        <v>43549</v>
      </c>
      <c r="G93" s="26" t="s">
        <v>93</v>
      </c>
      <c r="H93" s="8">
        <v>93</v>
      </c>
      <c r="I93" s="8" t="s">
        <v>94</v>
      </c>
      <c r="J93" s="8" t="str">
        <f>VLOOKUP(E93,Lookup_Departments!$A$2:$A$7:'Lookup_Departments'!$B$2:$B$7,2,FALSE)</f>
        <v>Operations</v>
      </c>
      <c r="K93" s="12" t="str">
        <f t="shared" si="9"/>
        <v>$66,606</v>
      </c>
      <c r="L93" s="8">
        <f t="shared" ca="1" si="10"/>
        <v>7.33</v>
      </c>
      <c r="M93" s="4" t="str">
        <f t="shared" si="11"/>
        <v>Exceeding</v>
      </c>
    </row>
    <row r="94" spans="1:13" x14ac:dyDescent="0.25">
      <c r="A94" s="7" t="s">
        <v>184</v>
      </c>
      <c r="B94" s="8" t="s">
        <v>77</v>
      </c>
      <c r="C94" s="8" t="s">
        <v>41</v>
      </c>
      <c r="D94" s="4" t="str">
        <f t="shared" si="8"/>
        <v>Sarah Miller</v>
      </c>
      <c r="E94" s="8" t="s">
        <v>38</v>
      </c>
      <c r="F94" s="17">
        <v>43513</v>
      </c>
      <c r="G94" s="26" t="s">
        <v>185</v>
      </c>
      <c r="H94" s="8">
        <v>91</v>
      </c>
      <c r="I94" s="8" t="s">
        <v>39</v>
      </c>
      <c r="J94" s="8" t="str">
        <f>VLOOKUP(E94,Lookup_Departments!$A$2:$A$7:'Lookup_Departments'!$B$2:$B$7,2,FALSE)</f>
        <v>Sales</v>
      </c>
      <c r="K94" s="12" t="str">
        <f t="shared" si="9"/>
        <v>$95,686</v>
      </c>
      <c r="L94" s="8">
        <f t="shared" ca="1" si="10"/>
        <v>7.43</v>
      </c>
      <c r="M94" s="4" t="str">
        <f t="shared" si="11"/>
        <v>Exceeding</v>
      </c>
    </row>
    <row r="95" spans="1:13" x14ac:dyDescent="0.25">
      <c r="A95" s="5" t="s">
        <v>108</v>
      </c>
      <c r="B95" s="6" t="s">
        <v>9</v>
      </c>
      <c r="C95" s="6" t="s">
        <v>28</v>
      </c>
      <c r="D95" s="4" t="str">
        <f t="shared" si="8"/>
        <v>Emily Johnson</v>
      </c>
      <c r="E95" s="6" t="s">
        <v>38</v>
      </c>
      <c r="F95" s="16">
        <v>43464</v>
      </c>
      <c r="G95" s="25">
        <v>80189</v>
      </c>
      <c r="H95" s="6">
        <v>30</v>
      </c>
      <c r="I95" s="6" t="s">
        <v>39</v>
      </c>
      <c r="J95" s="6" t="str">
        <f>VLOOKUP(E95,Lookup_Departments!$A$2:$A$7:'Lookup_Departments'!$B$2:$B$7,2,FALSE)</f>
        <v>Sales</v>
      </c>
      <c r="K95" s="11">
        <f t="shared" si="9"/>
        <v>80189</v>
      </c>
      <c r="L95" s="6">
        <f t="shared" ca="1" si="10"/>
        <v>7.56</v>
      </c>
      <c r="M95" s="4" t="str">
        <f t="shared" si="11"/>
        <v>Needs Improvement</v>
      </c>
    </row>
    <row r="96" spans="1:13" x14ac:dyDescent="0.25">
      <c r="A96" s="5" t="s">
        <v>167</v>
      </c>
      <c r="B96" s="6"/>
      <c r="C96" s="6" t="s">
        <v>25</v>
      </c>
      <c r="D96" s="4" t="str">
        <f t="shared" si="8"/>
        <v xml:space="preserve"> Smith</v>
      </c>
      <c r="E96" s="6" t="s">
        <v>38</v>
      </c>
      <c r="F96" s="16">
        <v>43439</v>
      </c>
      <c r="G96" s="25">
        <v>80140</v>
      </c>
      <c r="H96" s="6">
        <v>58</v>
      </c>
      <c r="I96" s="6" t="s">
        <v>39</v>
      </c>
      <c r="J96" s="6" t="str">
        <f>VLOOKUP(E96,Lookup_Departments!$A$2:$A$7:'Lookup_Departments'!$B$2:$B$7,2,FALSE)</f>
        <v>Sales</v>
      </c>
      <c r="K96" s="11">
        <f t="shared" si="9"/>
        <v>80140</v>
      </c>
      <c r="L96" s="6">
        <f t="shared" ca="1" si="10"/>
        <v>7.63</v>
      </c>
      <c r="M96" s="4" t="str">
        <f t="shared" si="11"/>
        <v>Developing</v>
      </c>
    </row>
    <row r="97" spans="1:14" x14ac:dyDescent="0.25">
      <c r="A97" s="5" t="s">
        <v>159</v>
      </c>
      <c r="B97" s="6" t="s">
        <v>133</v>
      </c>
      <c r="C97" s="6" t="s">
        <v>17</v>
      </c>
      <c r="D97" s="4" t="str">
        <f t="shared" si="8"/>
        <v>William Gonzalez</v>
      </c>
      <c r="E97" s="6" t="s">
        <v>29</v>
      </c>
      <c r="F97" s="16">
        <v>43436</v>
      </c>
      <c r="G97" s="25">
        <v>68683</v>
      </c>
      <c r="H97" s="6">
        <v>90</v>
      </c>
      <c r="I97" s="6" t="s">
        <v>39</v>
      </c>
      <c r="J97" s="6" t="str">
        <f>VLOOKUP(E97,Lookup_Departments!$A$2:$A$7:'Lookup_Departments'!$B$2:$B$7,2,FALSE)</f>
        <v>Operations</v>
      </c>
      <c r="K97" s="11">
        <f t="shared" si="9"/>
        <v>68683</v>
      </c>
      <c r="L97" s="6">
        <f t="shared" ca="1" si="10"/>
        <v>7.64</v>
      </c>
      <c r="M97" s="4" t="str">
        <f t="shared" si="11"/>
        <v>Exceeding</v>
      </c>
    </row>
    <row r="98" spans="1:14" x14ac:dyDescent="0.25">
      <c r="A98" s="7" t="s">
        <v>221</v>
      </c>
      <c r="B98" s="8" t="s">
        <v>91</v>
      </c>
      <c r="C98" s="8" t="s">
        <v>53</v>
      </c>
      <c r="D98" s="4" t="str">
        <f t="shared" ref="D98:D129" si="12">_xlfn.CONCAT(B98," ",C98)</f>
        <v>David Davis</v>
      </c>
      <c r="E98" s="8" t="s">
        <v>11</v>
      </c>
      <c r="F98" s="17">
        <v>43360</v>
      </c>
      <c r="G98" s="26" t="s">
        <v>222</v>
      </c>
      <c r="H98" s="8">
        <v>68</v>
      </c>
      <c r="I98" s="8" t="s">
        <v>39</v>
      </c>
      <c r="J98" s="8" t="str">
        <f>VLOOKUP(E98,Lookup_Departments!$A$2:$A$7:'Lookup_Departments'!$B$2:$B$7,2,FALSE)</f>
        <v>Information Technology</v>
      </c>
      <c r="K98" s="12" t="str">
        <f t="shared" ref="K98:K129" si="13">IF(G98=0,AVERAGEIF(J:J,J98,G:G),G98)</f>
        <v>$61,547</v>
      </c>
      <c r="L98" s="8">
        <f t="shared" ref="L98:L129" ca="1" si="14">ROUND(YEARFRAC(F98,TODAY()),2)</f>
        <v>7.85</v>
      </c>
      <c r="M98" s="4" t="str">
        <f t="shared" ref="M98:M129" si="15">_xlfn.IFS(H98&lt;=49,"Needs Improvement",H98&lt;=69,"Developing",H98&lt;=84,"Achiving",H98&lt;=94,"Exceeding",H98&lt;=100,"Outstanding")</f>
        <v>Developing</v>
      </c>
    </row>
    <row r="99" spans="1:14" x14ac:dyDescent="0.25">
      <c r="A99" s="5" t="s">
        <v>208</v>
      </c>
      <c r="B99" s="6" t="s">
        <v>133</v>
      </c>
      <c r="C99" s="6" t="s">
        <v>46</v>
      </c>
      <c r="D99" s="4" t="str">
        <f t="shared" si="12"/>
        <v>William Williams</v>
      </c>
      <c r="E99" s="6" t="s">
        <v>11</v>
      </c>
      <c r="F99" s="16">
        <v>43305</v>
      </c>
      <c r="G99" s="25">
        <v>62818</v>
      </c>
      <c r="H99" s="6">
        <v>34</v>
      </c>
      <c r="I99" s="6" t="s">
        <v>39</v>
      </c>
      <c r="J99" s="6" t="str">
        <f>VLOOKUP(E99,Lookup_Departments!$A$2:$A$7:'Lookup_Departments'!$B$2:$B$7,2,FALSE)</f>
        <v>Information Technology</v>
      </c>
      <c r="K99" s="11">
        <f t="shared" si="13"/>
        <v>62818</v>
      </c>
      <c r="L99" s="6">
        <f t="shared" ca="1" si="14"/>
        <v>7.99</v>
      </c>
      <c r="M99" s="4" t="str">
        <f t="shared" si="15"/>
        <v>Needs Improvement</v>
      </c>
    </row>
    <row r="100" spans="1:14" x14ac:dyDescent="0.25">
      <c r="A100" s="7" t="s">
        <v>209</v>
      </c>
      <c r="B100" s="8" t="s">
        <v>91</v>
      </c>
      <c r="C100" s="8" t="s">
        <v>46</v>
      </c>
      <c r="D100" s="4" t="str">
        <f t="shared" si="12"/>
        <v>David Williams</v>
      </c>
      <c r="E100" s="8" t="s">
        <v>79</v>
      </c>
      <c r="F100" s="17">
        <v>43301</v>
      </c>
      <c r="G100" s="26">
        <v>85151</v>
      </c>
      <c r="H100" s="8">
        <v>35</v>
      </c>
      <c r="I100" s="8" t="s">
        <v>39</v>
      </c>
      <c r="J100" s="8" t="str">
        <f>VLOOKUP(E100,Lookup_Departments!$A$2:$A$7:'Lookup_Departments'!$B$2:$B$7,2,FALSE)</f>
        <v>Human Resources</v>
      </c>
      <c r="K100" s="12">
        <f t="shared" si="13"/>
        <v>85151</v>
      </c>
      <c r="L100" s="8">
        <f t="shared" ca="1" si="14"/>
        <v>8.01</v>
      </c>
      <c r="M100" s="4" t="str">
        <f t="shared" si="15"/>
        <v>Needs Improvement</v>
      </c>
    </row>
    <row r="101" spans="1:14" x14ac:dyDescent="0.25">
      <c r="A101" s="5" t="s">
        <v>134</v>
      </c>
      <c r="B101" s="6" t="s">
        <v>20</v>
      </c>
      <c r="C101" s="6" t="s">
        <v>17</v>
      </c>
      <c r="D101" s="4" t="str">
        <f t="shared" si="12"/>
        <v>John Gonzalez</v>
      </c>
      <c r="E101" s="6" t="s">
        <v>38</v>
      </c>
      <c r="F101" s="16">
        <v>43283</v>
      </c>
      <c r="G101" s="25">
        <v>81083.352941176476</v>
      </c>
      <c r="H101" s="6">
        <v>72</v>
      </c>
      <c r="I101" s="6" t="s">
        <v>26</v>
      </c>
      <c r="J101" s="6" t="str">
        <f>VLOOKUP(E101,Lookup_Departments!$A$2:$A$7:'Lookup_Departments'!$B$2:$B$7,2,FALSE)</f>
        <v>Sales</v>
      </c>
      <c r="K101" s="11">
        <f t="shared" si="13"/>
        <v>81083.352941176476</v>
      </c>
      <c r="L101" s="6">
        <f t="shared" ca="1" si="14"/>
        <v>8.06</v>
      </c>
      <c r="M101" s="4" t="str">
        <f t="shared" si="15"/>
        <v>Achiving</v>
      </c>
    </row>
    <row r="102" spans="1:14" x14ac:dyDescent="0.25">
      <c r="A102" s="7" t="s">
        <v>162</v>
      </c>
      <c r="B102" s="8" t="s">
        <v>84</v>
      </c>
      <c r="C102" s="8" t="s">
        <v>28</v>
      </c>
      <c r="D102" s="4" t="str">
        <f t="shared" si="12"/>
        <v>Melissa Johnson</v>
      </c>
      <c r="E102" s="8" t="s">
        <v>11</v>
      </c>
      <c r="F102" s="17">
        <v>43270</v>
      </c>
      <c r="G102" s="26" t="s">
        <v>163</v>
      </c>
      <c r="H102" s="8">
        <v>66</v>
      </c>
      <c r="I102" s="8" t="s">
        <v>39</v>
      </c>
      <c r="J102" s="8" t="str">
        <f>VLOOKUP(E102,Lookup_Departments!$A$2:$A$7:'Lookup_Departments'!$B$2:$B$7,2,FALSE)</f>
        <v>Information Technology</v>
      </c>
      <c r="K102" s="12" t="str">
        <f t="shared" si="13"/>
        <v>$88,056</v>
      </c>
      <c r="L102" s="8">
        <f t="shared" ca="1" si="14"/>
        <v>8.09</v>
      </c>
      <c r="M102" s="4" t="str">
        <f t="shared" si="15"/>
        <v>Developing</v>
      </c>
    </row>
    <row r="103" spans="1:14" x14ac:dyDescent="0.25">
      <c r="A103" s="7" t="s">
        <v>227</v>
      </c>
      <c r="B103" s="8" t="s">
        <v>20</v>
      </c>
      <c r="C103" s="8" t="s">
        <v>14</v>
      </c>
      <c r="D103" s="4" t="str">
        <f t="shared" si="12"/>
        <v>John Hernandez</v>
      </c>
      <c r="E103" s="8" t="s">
        <v>29</v>
      </c>
      <c r="F103" s="17">
        <v>43257</v>
      </c>
      <c r="G103" s="26">
        <v>52720</v>
      </c>
      <c r="H103" s="8">
        <v>68</v>
      </c>
      <c r="I103" s="8" t="s">
        <v>39</v>
      </c>
      <c r="J103" s="8" t="str">
        <f>VLOOKUP(E103,Lookup_Departments!$A$2:$A$7:'Lookup_Departments'!$B$2:$B$7,2,FALSE)</f>
        <v>Operations</v>
      </c>
      <c r="K103" s="12">
        <f t="shared" si="13"/>
        <v>52720</v>
      </c>
      <c r="L103" s="8">
        <f t="shared" ca="1" si="14"/>
        <v>8.1300000000000008</v>
      </c>
      <c r="M103" s="4" t="str">
        <f t="shared" si="15"/>
        <v>Developing</v>
      </c>
    </row>
    <row r="104" spans="1:14" x14ac:dyDescent="0.25">
      <c r="A104" s="7" t="s">
        <v>56</v>
      </c>
      <c r="B104" s="8" t="s">
        <v>57</v>
      </c>
      <c r="C104" s="8" t="s">
        <v>58</v>
      </c>
      <c r="D104" s="4" t="str">
        <f t="shared" si="12"/>
        <v>Ashley Lopez</v>
      </c>
      <c r="E104" s="8" t="s">
        <v>15</v>
      </c>
      <c r="F104" s="17">
        <v>43235</v>
      </c>
      <c r="G104" s="26">
        <v>73984</v>
      </c>
      <c r="H104" s="8">
        <v>93</v>
      </c>
      <c r="I104" s="8" t="s">
        <v>39</v>
      </c>
      <c r="J104" s="8" t="str">
        <f>VLOOKUP(E104,Lookup_Departments!$A$2:$A$7:'Lookup_Departments'!$B$2:$B$7,2,FALSE)</f>
        <v>Marketing</v>
      </c>
      <c r="K104" s="12">
        <f t="shared" si="13"/>
        <v>73984</v>
      </c>
      <c r="L104" s="8">
        <f t="shared" ca="1" si="14"/>
        <v>8.19</v>
      </c>
      <c r="M104" s="4" t="str">
        <f t="shared" si="15"/>
        <v>Exceeding</v>
      </c>
    </row>
    <row r="105" spans="1:14" x14ac:dyDescent="0.25">
      <c r="A105" s="7" t="s">
        <v>72</v>
      </c>
      <c r="B105" s="8" t="s">
        <v>37</v>
      </c>
      <c r="C105" s="8" t="s">
        <v>31</v>
      </c>
      <c r="D105" s="4" t="str">
        <f t="shared" si="12"/>
        <v>Michael Wilson</v>
      </c>
      <c r="E105" s="8" t="s">
        <v>22</v>
      </c>
      <c r="F105" s="17">
        <v>43233</v>
      </c>
      <c r="G105" s="26">
        <v>85312</v>
      </c>
      <c r="H105" s="8">
        <v>66</v>
      </c>
      <c r="I105" s="8" t="s">
        <v>39</v>
      </c>
      <c r="J105" s="8" t="str">
        <f>VLOOKUP(E105,Lookup_Departments!$A$2:$A$7:'Lookup_Departments'!$B$2:$B$7,2,FALSE)</f>
        <v>Finance</v>
      </c>
      <c r="K105" s="12">
        <f t="shared" si="13"/>
        <v>85312</v>
      </c>
      <c r="L105" s="8">
        <f t="shared" ca="1" si="14"/>
        <v>8.19</v>
      </c>
      <c r="M105" s="4" t="str">
        <f t="shared" si="15"/>
        <v>Developing</v>
      </c>
    </row>
    <row r="106" spans="1:14" x14ac:dyDescent="0.25">
      <c r="A106" s="7" t="s">
        <v>207</v>
      </c>
      <c r="B106" s="8" t="s">
        <v>133</v>
      </c>
      <c r="C106" s="8" t="s">
        <v>50</v>
      </c>
      <c r="D106" s="4" t="str">
        <f t="shared" si="12"/>
        <v>William Jones</v>
      </c>
      <c r="E106" s="8" t="s">
        <v>15</v>
      </c>
      <c r="F106" s="17">
        <v>43183</v>
      </c>
      <c r="G106" s="26">
        <v>107903</v>
      </c>
      <c r="H106" s="8">
        <v>42</v>
      </c>
      <c r="I106" s="8" t="s">
        <v>39</v>
      </c>
      <c r="J106" s="8" t="str">
        <f>VLOOKUP(E106,Lookup_Departments!$A$2:$A$7:'Lookup_Departments'!$B$2:$B$7,2,FALSE)</f>
        <v>Marketing</v>
      </c>
      <c r="K106" s="12">
        <f t="shared" si="13"/>
        <v>107903</v>
      </c>
      <c r="L106" s="8">
        <f t="shared" ca="1" si="14"/>
        <v>8.33</v>
      </c>
      <c r="M106" s="4" t="str">
        <f t="shared" si="15"/>
        <v>Needs Improvement</v>
      </c>
    </row>
    <row r="107" spans="1:14" x14ac:dyDescent="0.25">
      <c r="A107" s="7" t="s">
        <v>89</v>
      </c>
      <c r="B107" s="8" t="s">
        <v>9</v>
      </c>
      <c r="C107" s="8" t="s">
        <v>31</v>
      </c>
      <c r="D107" s="4" t="str">
        <f t="shared" si="12"/>
        <v>Emily Wilson</v>
      </c>
      <c r="E107" s="8" t="s">
        <v>38</v>
      </c>
      <c r="F107" s="17">
        <v>43181</v>
      </c>
      <c r="G107" s="26">
        <v>86245</v>
      </c>
      <c r="H107" s="8">
        <v>71</v>
      </c>
      <c r="I107" s="8" t="s">
        <v>26</v>
      </c>
      <c r="J107" s="8" t="str">
        <f>VLOOKUP(E107,Lookup_Departments!$A$2:$A$7:'Lookup_Departments'!$B$2:$B$7,2,FALSE)</f>
        <v>Sales</v>
      </c>
      <c r="K107" s="12">
        <f t="shared" si="13"/>
        <v>86245</v>
      </c>
      <c r="L107" s="8">
        <f t="shared" ca="1" si="14"/>
        <v>8.33</v>
      </c>
      <c r="M107" s="4" t="str">
        <f t="shared" si="15"/>
        <v>Achiving</v>
      </c>
    </row>
    <row r="108" spans="1:14" x14ac:dyDescent="0.25">
      <c r="A108" s="7" t="s">
        <v>176</v>
      </c>
      <c r="B108" s="8" t="s">
        <v>20</v>
      </c>
      <c r="C108" s="8" t="s">
        <v>25</v>
      </c>
      <c r="D108" s="4" t="str">
        <f t="shared" si="12"/>
        <v>John Smith</v>
      </c>
      <c r="E108" s="8" t="s">
        <v>29</v>
      </c>
      <c r="F108" s="17">
        <v>43122</v>
      </c>
      <c r="G108" s="26">
        <v>89060</v>
      </c>
      <c r="H108" s="8">
        <v>58</v>
      </c>
      <c r="I108" s="8" t="s">
        <v>39</v>
      </c>
      <c r="J108" s="8" t="str">
        <f>VLOOKUP(E108,Lookup_Departments!$A$2:$A$7:'Lookup_Departments'!$B$2:$B$7,2,FALSE)</f>
        <v>Operations</v>
      </c>
      <c r="K108" s="12">
        <f t="shared" si="13"/>
        <v>89060</v>
      </c>
      <c r="L108" s="8">
        <f t="shared" ca="1" si="14"/>
        <v>8.5</v>
      </c>
      <c r="M108" s="4" t="str">
        <f t="shared" si="15"/>
        <v>Developing</v>
      </c>
    </row>
    <row r="109" spans="1:14" x14ac:dyDescent="0.25">
      <c r="A109" s="5" t="s">
        <v>164</v>
      </c>
      <c r="B109" s="6" t="s">
        <v>24</v>
      </c>
      <c r="C109" s="6" t="s">
        <v>41</v>
      </c>
      <c r="D109" s="4" t="str">
        <f t="shared" si="12"/>
        <v>Thomas Miller</v>
      </c>
      <c r="E109" s="6" t="s">
        <v>29</v>
      </c>
      <c r="F109" s="16">
        <v>43112</v>
      </c>
      <c r="G109" s="25">
        <v>67414</v>
      </c>
      <c r="H109" s="6">
        <v>84</v>
      </c>
      <c r="I109" s="6" t="s">
        <v>26</v>
      </c>
      <c r="J109" s="6" t="str">
        <f>VLOOKUP(E109,Lookup_Departments!$A$2:$A$7:'Lookup_Departments'!$B$2:$B$7,2,FALSE)</f>
        <v>Operations</v>
      </c>
      <c r="K109" s="11">
        <f t="shared" si="13"/>
        <v>67414</v>
      </c>
      <c r="L109" s="6">
        <f t="shared" ca="1" si="14"/>
        <v>8.5299999999999994</v>
      </c>
      <c r="M109" s="4" t="str">
        <f t="shared" si="15"/>
        <v>Achiving</v>
      </c>
    </row>
    <row r="110" spans="1:14" x14ac:dyDescent="0.25">
      <c r="A110" s="7" t="s">
        <v>34</v>
      </c>
      <c r="B110" s="8"/>
      <c r="C110" s="8" t="s">
        <v>35</v>
      </c>
      <c r="D110" s="4" t="str">
        <f t="shared" si="12"/>
        <v xml:space="preserve"> Rodriguez</v>
      </c>
      <c r="E110" s="8" t="s">
        <v>22</v>
      </c>
      <c r="F110" s="17">
        <v>43107</v>
      </c>
      <c r="G110" s="26">
        <v>102139</v>
      </c>
      <c r="H110" s="8">
        <v>79</v>
      </c>
      <c r="I110" s="8" t="s">
        <v>39</v>
      </c>
      <c r="J110" s="8" t="str">
        <f>VLOOKUP(E110,Lookup_Departments!$A$2:$A$7:'Lookup_Departments'!$B$2:$B$7,2,FALSE)</f>
        <v>Finance</v>
      </c>
      <c r="K110" s="12">
        <f t="shared" si="13"/>
        <v>102139</v>
      </c>
      <c r="L110" s="8">
        <f t="shared" ca="1" si="14"/>
        <v>8.5399999999999991</v>
      </c>
      <c r="M110" s="4" t="str">
        <f t="shared" si="15"/>
        <v>Achiving</v>
      </c>
    </row>
    <row r="111" spans="1:14" x14ac:dyDescent="0.25">
      <c r="A111" s="7" t="s">
        <v>8</v>
      </c>
      <c r="B111" s="8" t="s">
        <v>9</v>
      </c>
      <c r="C111" s="8" t="s">
        <v>10</v>
      </c>
      <c r="D111" s="4" t="str">
        <f t="shared" si="12"/>
        <v>Emily Brown</v>
      </c>
      <c r="E111" s="8" t="s">
        <v>11</v>
      </c>
      <c r="F111" s="17">
        <v>43093</v>
      </c>
      <c r="G111" s="26">
        <v>50361</v>
      </c>
      <c r="H111" s="8">
        <v>52</v>
      </c>
      <c r="I111" s="8" t="s">
        <v>39</v>
      </c>
      <c r="J111" s="8" t="str">
        <f>VLOOKUP(E111,Lookup_Departments!$A$2:$A$7:'Lookup_Departments'!$B$2:$B$7,2,FALSE)</f>
        <v>Information Technology</v>
      </c>
      <c r="K111" s="12">
        <f t="shared" si="13"/>
        <v>50361</v>
      </c>
      <c r="L111" s="8">
        <f t="shared" ca="1" si="14"/>
        <v>8.58</v>
      </c>
      <c r="M111" s="4" t="str">
        <f t="shared" si="15"/>
        <v>Developing</v>
      </c>
      <c r="N111" s="14" t="e">
        <f>K111*VLOOKUP(J111,Lookup_Performance!$C$2:$C$6,Lookup_Performance!$D$2:$D$6,0)</f>
        <v>#N/A</v>
      </c>
    </row>
    <row r="112" spans="1:14" x14ac:dyDescent="0.25">
      <c r="A112" s="7" t="s">
        <v>218</v>
      </c>
      <c r="B112" s="8" t="s">
        <v>84</v>
      </c>
      <c r="C112" s="8" t="s">
        <v>28</v>
      </c>
      <c r="D112" s="4" t="str">
        <f t="shared" si="12"/>
        <v>Melissa Johnson</v>
      </c>
      <c r="E112" s="8" t="s">
        <v>22</v>
      </c>
      <c r="F112" s="17">
        <v>43091</v>
      </c>
      <c r="G112" s="26">
        <v>88005</v>
      </c>
      <c r="H112" s="8">
        <v>69</v>
      </c>
      <c r="I112" s="8" t="s">
        <v>39</v>
      </c>
      <c r="J112" s="8" t="str">
        <f>VLOOKUP(E112,Lookup_Departments!$A$2:$A$7:'Lookup_Departments'!$B$2:$B$7,2,FALSE)</f>
        <v>Finance</v>
      </c>
      <c r="K112" s="12">
        <f t="shared" si="13"/>
        <v>88005</v>
      </c>
      <c r="L112" s="8">
        <f t="shared" ca="1" si="14"/>
        <v>8.58</v>
      </c>
      <c r="M112" s="4" t="str">
        <f t="shared" si="15"/>
        <v>Developing</v>
      </c>
    </row>
    <row r="113" spans="1:13" x14ac:dyDescent="0.25">
      <c r="A113" s="7" t="s">
        <v>61</v>
      </c>
      <c r="B113" s="8" t="s">
        <v>37</v>
      </c>
      <c r="C113" s="8" t="s">
        <v>14</v>
      </c>
      <c r="D113" s="4" t="str">
        <f t="shared" si="12"/>
        <v>Michael Hernandez</v>
      </c>
      <c r="E113" s="8" t="s">
        <v>22</v>
      </c>
      <c r="F113" s="17">
        <v>43076</v>
      </c>
      <c r="G113" s="26">
        <v>118527</v>
      </c>
      <c r="H113" s="8">
        <v>50</v>
      </c>
      <c r="I113" s="8" t="s">
        <v>39</v>
      </c>
      <c r="J113" s="8" t="str">
        <f>VLOOKUP(E113,Lookup_Departments!$A$2:$A$7:'Lookup_Departments'!$B$2:$B$7,2,FALSE)</f>
        <v>Finance</v>
      </c>
      <c r="K113" s="12">
        <f t="shared" si="13"/>
        <v>118527</v>
      </c>
      <c r="L113" s="8">
        <f t="shared" ca="1" si="14"/>
        <v>8.6300000000000008</v>
      </c>
      <c r="M113" s="4" t="str">
        <f t="shared" si="15"/>
        <v>Developing</v>
      </c>
    </row>
    <row r="114" spans="1:13" x14ac:dyDescent="0.25">
      <c r="A114" s="7" t="s">
        <v>224</v>
      </c>
      <c r="B114" s="8" t="s">
        <v>13</v>
      </c>
      <c r="C114" s="8" t="s">
        <v>28</v>
      </c>
      <c r="D114" s="4" t="str">
        <f t="shared" si="12"/>
        <v>Richard Johnson</v>
      </c>
      <c r="E114" s="8" t="s">
        <v>29</v>
      </c>
      <c r="F114" s="17">
        <v>43011</v>
      </c>
      <c r="G114" s="26">
        <v>50399</v>
      </c>
      <c r="H114" s="8">
        <v>92</v>
      </c>
      <c r="I114" s="8" t="s">
        <v>26</v>
      </c>
      <c r="J114" s="8" t="str">
        <f>VLOOKUP(E114,Lookup_Departments!$A$2:$A$7:'Lookup_Departments'!$B$2:$B$7,2,FALSE)</f>
        <v>Operations</v>
      </c>
      <c r="K114" s="12">
        <f t="shared" si="13"/>
        <v>50399</v>
      </c>
      <c r="L114" s="8">
        <f t="shared" ca="1" si="14"/>
        <v>8.8000000000000007</v>
      </c>
      <c r="M114" s="4" t="str">
        <f t="shared" si="15"/>
        <v>Exceeding</v>
      </c>
    </row>
    <row r="115" spans="1:13" x14ac:dyDescent="0.25">
      <c r="A115" s="5" t="s">
        <v>131</v>
      </c>
      <c r="B115" s="6" t="s">
        <v>49</v>
      </c>
      <c r="C115" s="6" t="s">
        <v>41</v>
      </c>
      <c r="D115" s="4" t="str">
        <f t="shared" si="12"/>
        <v>Robert Miller</v>
      </c>
      <c r="E115" s="6" t="s">
        <v>79</v>
      </c>
      <c r="F115" s="16">
        <v>43008</v>
      </c>
      <c r="G115" s="25">
        <v>55270</v>
      </c>
      <c r="H115" s="6">
        <v>87</v>
      </c>
      <c r="I115" s="6" t="s">
        <v>39</v>
      </c>
      <c r="J115" s="6" t="str">
        <f>VLOOKUP(E115,Lookup_Departments!$A$2:$A$7:'Lookup_Departments'!$B$2:$B$7,2,FALSE)</f>
        <v>Human Resources</v>
      </c>
      <c r="K115" s="11">
        <f t="shared" si="13"/>
        <v>55270</v>
      </c>
      <c r="L115" s="6">
        <f t="shared" ca="1" si="14"/>
        <v>8.81</v>
      </c>
      <c r="M115" s="4" t="str">
        <f t="shared" si="15"/>
        <v>Exceeding</v>
      </c>
    </row>
    <row r="116" spans="1:13" x14ac:dyDescent="0.25">
      <c r="A116" s="7" t="s">
        <v>202</v>
      </c>
      <c r="B116" s="8" t="s">
        <v>49</v>
      </c>
      <c r="C116" s="8" t="s">
        <v>46</v>
      </c>
      <c r="D116" s="4" t="str">
        <f t="shared" si="12"/>
        <v>Robert Williams</v>
      </c>
      <c r="E116" s="8" t="s">
        <v>38</v>
      </c>
      <c r="F116" s="17">
        <v>42956</v>
      </c>
      <c r="G116" s="26">
        <v>81083.352941176476</v>
      </c>
      <c r="H116" s="8">
        <v>76</v>
      </c>
      <c r="I116" s="8" t="s">
        <v>39</v>
      </c>
      <c r="J116" s="8" t="str">
        <f>VLOOKUP(E116,Lookup_Departments!$A$2:$A$7:'Lookup_Departments'!$B$2:$B$7,2,FALSE)</f>
        <v>Sales</v>
      </c>
      <c r="K116" s="12">
        <f t="shared" si="13"/>
        <v>81083.352941176476</v>
      </c>
      <c r="L116" s="8">
        <f t="shared" ca="1" si="14"/>
        <v>8.9499999999999993</v>
      </c>
      <c r="M116" s="4" t="str">
        <f t="shared" si="15"/>
        <v>Achiving</v>
      </c>
    </row>
    <row r="117" spans="1:13" x14ac:dyDescent="0.25">
      <c r="A117" s="5" t="s">
        <v>212</v>
      </c>
      <c r="B117" s="6" t="s">
        <v>91</v>
      </c>
      <c r="C117" s="6" t="s">
        <v>112</v>
      </c>
      <c r="D117" s="4" t="str">
        <f t="shared" si="12"/>
        <v>David Anderson</v>
      </c>
      <c r="E117" s="6" t="s">
        <v>79</v>
      </c>
      <c r="F117" s="16">
        <v>42944</v>
      </c>
      <c r="G117" s="25" t="s">
        <v>213</v>
      </c>
      <c r="H117" s="6">
        <v>42</v>
      </c>
      <c r="I117" s="6" t="s">
        <v>39</v>
      </c>
      <c r="J117" s="6" t="str">
        <f>VLOOKUP(E117,Lookup_Departments!$A$2:$A$7:'Lookup_Departments'!$B$2:$B$7,2,FALSE)</f>
        <v>Human Resources</v>
      </c>
      <c r="K117" s="11" t="str">
        <f t="shared" si="13"/>
        <v>$115,618</v>
      </c>
      <c r="L117" s="6">
        <f t="shared" ca="1" si="14"/>
        <v>8.98</v>
      </c>
      <c r="M117" s="4" t="str">
        <f t="shared" si="15"/>
        <v>Needs Improvement</v>
      </c>
    </row>
    <row r="118" spans="1:13" x14ac:dyDescent="0.25">
      <c r="A118" s="5" t="s">
        <v>228</v>
      </c>
      <c r="B118" s="6" t="s">
        <v>77</v>
      </c>
      <c r="C118" s="6" t="s">
        <v>17</v>
      </c>
      <c r="D118" s="4" t="str">
        <f t="shared" si="12"/>
        <v>Sarah Gonzalez</v>
      </c>
      <c r="E118" s="6" t="s">
        <v>29</v>
      </c>
      <c r="F118" s="16">
        <v>42932</v>
      </c>
      <c r="G118" s="25">
        <v>65065</v>
      </c>
      <c r="H118" s="6">
        <v>98</v>
      </c>
      <c r="I118" s="6" t="s">
        <v>39</v>
      </c>
      <c r="J118" s="6" t="str">
        <f>VLOOKUP(E118,Lookup_Departments!$A$2:$A$7:'Lookup_Departments'!$B$2:$B$7,2,FALSE)</f>
        <v>Operations</v>
      </c>
      <c r="K118" s="11">
        <f t="shared" si="13"/>
        <v>65065</v>
      </c>
      <c r="L118" s="6">
        <f t="shared" ca="1" si="14"/>
        <v>9.02</v>
      </c>
      <c r="M118" s="4" t="str">
        <f t="shared" si="15"/>
        <v>Outstanding</v>
      </c>
    </row>
    <row r="119" spans="1:13" x14ac:dyDescent="0.25">
      <c r="A119" s="7" t="s">
        <v>80</v>
      </c>
      <c r="B119" s="8" t="s">
        <v>9</v>
      </c>
      <c r="C119" s="8" t="s">
        <v>50</v>
      </c>
      <c r="D119" s="4" t="str">
        <f t="shared" si="12"/>
        <v>Emily Jones</v>
      </c>
      <c r="E119" s="8" t="s">
        <v>22</v>
      </c>
      <c r="F119" s="17">
        <v>42919</v>
      </c>
      <c r="G119" s="26">
        <v>113389</v>
      </c>
      <c r="H119" s="8">
        <v>30</v>
      </c>
      <c r="I119" s="8" t="s">
        <v>39</v>
      </c>
      <c r="J119" s="8" t="str">
        <f>VLOOKUP(E119,Lookup_Departments!$A$2:$A$7:'Lookup_Departments'!$B$2:$B$7,2,FALSE)</f>
        <v>Finance</v>
      </c>
      <c r="K119" s="12">
        <f t="shared" si="13"/>
        <v>113389</v>
      </c>
      <c r="L119" s="8">
        <f t="shared" ca="1" si="14"/>
        <v>9.0500000000000007</v>
      </c>
      <c r="M119" s="4" t="str">
        <f t="shared" si="15"/>
        <v>Needs Improvement</v>
      </c>
    </row>
    <row r="120" spans="1:13" x14ac:dyDescent="0.25">
      <c r="A120" s="5" t="s">
        <v>54</v>
      </c>
      <c r="B120" s="6" t="s">
        <v>55</v>
      </c>
      <c r="C120" s="6" t="s">
        <v>21</v>
      </c>
      <c r="D120" s="4" t="str">
        <f t="shared" si="12"/>
        <v>James Martinez</v>
      </c>
      <c r="E120" s="6" t="s">
        <v>38</v>
      </c>
      <c r="F120" s="16">
        <v>42899</v>
      </c>
      <c r="G120" s="25">
        <v>102921</v>
      </c>
      <c r="H120" s="6">
        <v>49</v>
      </c>
      <c r="I120" s="6" t="s">
        <v>39</v>
      </c>
      <c r="J120" s="6" t="str">
        <f>VLOOKUP(E120,Lookup_Departments!$A$2:$A$7:'Lookup_Departments'!$B$2:$B$7,2,FALSE)</f>
        <v>Sales</v>
      </c>
      <c r="K120" s="11">
        <f t="shared" si="13"/>
        <v>102921</v>
      </c>
      <c r="L120" s="6">
        <f t="shared" ca="1" si="14"/>
        <v>9.11</v>
      </c>
      <c r="M120" s="4" t="str">
        <f t="shared" si="15"/>
        <v>Needs Improvement</v>
      </c>
    </row>
    <row r="121" spans="1:13" x14ac:dyDescent="0.25">
      <c r="A121" s="7" t="s">
        <v>157</v>
      </c>
      <c r="B121" s="8" t="s">
        <v>45</v>
      </c>
      <c r="C121" s="8" t="s">
        <v>53</v>
      </c>
      <c r="D121" s="4" t="str">
        <f t="shared" si="12"/>
        <v>Jane Davis</v>
      </c>
      <c r="E121" s="8" t="s">
        <v>11</v>
      </c>
      <c r="F121" s="17">
        <v>42880</v>
      </c>
      <c r="G121" s="26" t="s">
        <v>158</v>
      </c>
      <c r="H121" s="8">
        <v>48</v>
      </c>
      <c r="I121" s="8" t="s">
        <v>39</v>
      </c>
      <c r="J121" s="8" t="str">
        <f>VLOOKUP(E121,Lookup_Departments!$A$2:$A$7:'Lookup_Departments'!$B$2:$B$7,2,FALSE)</f>
        <v>Information Technology</v>
      </c>
      <c r="K121" s="12" t="str">
        <f t="shared" si="13"/>
        <v>$77,545</v>
      </c>
      <c r="L121" s="8">
        <f t="shared" ca="1" si="14"/>
        <v>9.16</v>
      </c>
      <c r="M121" s="4" t="str">
        <f t="shared" si="15"/>
        <v>Needs Improvement</v>
      </c>
    </row>
    <row r="122" spans="1:13" x14ac:dyDescent="0.25">
      <c r="A122" s="5" t="s">
        <v>122</v>
      </c>
      <c r="B122" s="6" t="s">
        <v>45</v>
      </c>
      <c r="C122" s="6" t="s">
        <v>53</v>
      </c>
      <c r="D122" s="4" t="str">
        <f t="shared" si="12"/>
        <v>Jane Davis</v>
      </c>
      <c r="E122" s="6" t="s">
        <v>22</v>
      </c>
      <c r="F122" s="16">
        <v>42838</v>
      </c>
      <c r="G122" s="25">
        <v>103891</v>
      </c>
      <c r="H122" s="6">
        <v>80</v>
      </c>
      <c r="I122" s="6" t="s">
        <v>39</v>
      </c>
      <c r="J122" s="6" t="str">
        <f>VLOOKUP(E122,Lookup_Departments!$A$2:$A$7:'Lookup_Departments'!$B$2:$B$7,2,FALSE)</f>
        <v>Finance</v>
      </c>
      <c r="K122" s="11">
        <f t="shared" si="13"/>
        <v>103891</v>
      </c>
      <c r="L122" s="6">
        <f t="shared" ca="1" si="14"/>
        <v>9.2799999999999994</v>
      </c>
      <c r="M122" s="4" t="str">
        <f t="shared" si="15"/>
        <v>Achiving</v>
      </c>
    </row>
    <row r="123" spans="1:13" x14ac:dyDescent="0.25">
      <c r="A123" s="7" t="s">
        <v>127</v>
      </c>
      <c r="B123" s="8" t="s">
        <v>37</v>
      </c>
      <c r="C123" s="8" t="s">
        <v>41</v>
      </c>
      <c r="D123" s="4" t="str">
        <f t="shared" si="12"/>
        <v>Michael Miller</v>
      </c>
      <c r="E123" s="8" t="s">
        <v>38</v>
      </c>
      <c r="F123" s="17">
        <v>42818</v>
      </c>
      <c r="G123" s="26" t="s">
        <v>128</v>
      </c>
      <c r="H123" s="8">
        <v>65</v>
      </c>
      <c r="I123" s="8" t="s">
        <v>39</v>
      </c>
      <c r="J123" s="8" t="str">
        <f>VLOOKUP(E123,Lookup_Departments!$A$2:$A$7:'Lookup_Departments'!$B$2:$B$7,2,FALSE)</f>
        <v>Sales</v>
      </c>
      <c r="K123" s="12" t="str">
        <f t="shared" si="13"/>
        <v>$111,240</v>
      </c>
      <c r="L123" s="8">
        <f t="shared" ca="1" si="14"/>
        <v>9.33</v>
      </c>
      <c r="M123" s="4" t="str">
        <f t="shared" si="15"/>
        <v>Developing</v>
      </c>
    </row>
    <row r="124" spans="1:13" x14ac:dyDescent="0.25">
      <c r="A124" s="5" t="s">
        <v>119</v>
      </c>
      <c r="B124" s="6" t="s">
        <v>49</v>
      </c>
      <c r="C124" s="6" t="s">
        <v>28</v>
      </c>
      <c r="D124" s="4" t="str">
        <f t="shared" si="12"/>
        <v>Robert Johnson</v>
      </c>
      <c r="E124" s="6" t="s">
        <v>29</v>
      </c>
      <c r="F124" s="16">
        <v>42800</v>
      </c>
      <c r="G124" s="25">
        <v>63302</v>
      </c>
      <c r="H124" s="6">
        <v>91</v>
      </c>
      <c r="I124" s="6" t="s">
        <v>39</v>
      </c>
      <c r="J124" s="6" t="str">
        <f>VLOOKUP(E124,Lookup_Departments!$A$2:$A$7:'Lookup_Departments'!$B$2:$B$7,2,FALSE)</f>
        <v>Operations</v>
      </c>
      <c r="K124" s="11">
        <f t="shared" si="13"/>
        <v>63302</v>
      </c>
      <c r="L124" s="6">
        <f t="shared" ca="1" si="14"/>
        <v>9.3800000000000008</v>
      </c>
      <c r="M124" s="4" t="str">
        <f t="shared" si="15"/>
        <v>Exceeding</v>
      </c>
    </row>
    <row r="125" spans="1:13" x14ac:dyDescent="0.25">
      <c r="A125" s="7" t="s">
        <v>173</v>
      </c>
      <c r="B125" s="8" t="s">
        <v>84</v>
      </c>
      <c r="C125" s="8" t="s">
        <v>17</v>
      </c>
      <c r="D125" s="4" t="str">
        <f t="shared" si="12"/>
        <v>Melissa Gonzalez</v>
      </c>
      <c r="E125" s="8" t="s">
        <v>15</v>
      </c>
      <c r="F125" s="17">
        <v>42785</v>
      </c>
      <c r="G125" s="26">
        <v>82992</v>
      </c>
      <c r="H125" s="8">
        <v>79</v>
      </c>
      <c r="I125" s="8" t="s">
        <v>39</v>
      </c>
      <c r="J125" s="8" t="str">
        <f>VLOOKUP(E125,Lookup_Departments!$A$2:$A$7:'Lookup_Departments'!$B$2:$B$7,2,FALSE)</f>
        <v>Marketing</v>
      </c>
      <c r="K125" s="12">
        <f t="shared" si="13"/>
        <v>82992</v>
      </c>
      <c r="L125" s="8">
        <f t="shared" ca="1" si="14"/>
        <v>9.43</v>
      </c>
      <c r="M125" s="4" t="str">
        <f t="shared" si="15"/>
        <v>Achiving</v>
      </c>
    </row>
    <row r="126" spans="1:13" x14ac:dyDescent="0.25">
      <c r="A126" s="7" t="s">
        <v>101</v>
      </c>
      <c r="B126" s="8" t="s">
        <v>20</v>
      </c>
      <c r="C126" s="8" t="s">
        <v>53</v>
      </c>
      <c r="D126" s="4" t="str">
        <f t="shared" si="12"/>
        <v>John Davis</v>
      </c>
      <c r="E126" s="8" t="s">
        <v>11</v>
      </c>
      <c r="F126" s="17">
        <v>42761</v>
      </c>
      <c r="G126" s="26">
        <v>83531</v>
      </c>
      <c r="H126" s="8">
        <v>30</v>
      </c>
      <c r="I126" s="8" t="s">
        <v>26</v>
      </c>
      <c r="J126" s="8" t="str">
        <f>VLOOKUP(E126,Lookup_Departments!$A$2:$A$7:'Lookup_Departments'!$B$2:$B$7,2,FALSE)</f>
        <v>Information Technology</v>
      </c>
      <c r="K126" s="12">
        <f t="shared" si="13"/>
        <v>83531</v>
      </c>
      <c r="L126" s="8">
        <f t="shared" ca="1" si="14"/>
        <v>9.49</v>
      </c>
      <c r="M126" s="4" t="str">
        <f t="shared" si="15"/>
        <v>Needs Improvement</v>
      </c>
    </row>
    <row r="127" spans="1:13" x14ac:dyDescent="0.25">
      <c r="A127" s="5" t="s">
        <v>182</v>
      </c>
      <c r="B127" s="6" t="s">
        <v>33</v>
      </c>
      <c r="C127" s="6" t="s">
        <v>17</v>
      </c>
      <c r="D127" s="4" t="str">
        <f t="shared" si="12"/>
        <v>Jessica Gonzalez</v>
      </c>
      <c r="E127" s="6" t="s">
        <v>79</v>
      </c>
      <c r="F127" s="16">
        <v>42687</v>
      </c>
      <c r="G127" s="25" t="s">
        <v>183</v>
      </c>
      <c r="H127" s="6">
        <v>77</v>
      </c>
      <c r="I127" s="6" t="s">
        <v>39</v>
      </c>
      <c r="J127" s="6" t="str">
        <f>VLOOKUP(E127,Lookup_Departments!$A$2:$A$7:'Lookup_Departments'!$B$2:$B$7,2,FALSE)</f>
        <v>Human Resources</v>
      </c>
      <c r="K127" s="11" t="str">
        <f t="shared" si="13"/>
        <v>$77,737</v>
      </c>
      <c r="L127" s="6">
        <f t="shared" ca="1" si="14"/>
        <v>9.69</v>
      </c>
      <c r="M127" s="4" t="str">
        <f t="shared" si="15"/>
        <v>Achiving</v>
      </c>
    </row>
    <row r="128" spans="1:13" x14ac:dyDescent="0.25">
      <c r="A128" s="7" t="s">
        <v>239</v>
      </c>
      <c r="B128" s="8" t="s">
        <v>55</v>
      </c>
      <c r="C128" s="8" t="s">
        <v>35</v>
      </c>
      <c r="D128" s="4" t="str">
        <f t="shared" si="12"/>
        <v>James Rodriguez</v>
      </c>
      <c r="E128" s="8" t="s">
        <v>15</v>
      </c>
      <c r="F128" s="17">
        <v>42677</v>
      </c>
      <c r="G128" s="26">
        <v>93094</v>
      </c>
      <c r="H128" s="8">
        <v>74</v>
      </c>
      <c r="I128" s="8" t="s">
        <v>39</v>
      </c>
      <c r="J128" s="8" t="str">
        <f>VLOOKUP(E128,Lookup_Departments!$A$2:$A$7:'Lookup_Departments'!$B$2:$B$7,2,FALSE)</f>
        <v>Marketing</v>
      </c>
      <c r="K128" s="12">
        <f t="shared" si="13"/>
        <v>93094</v>
      </c>
      <c r="L128" s="8">
        <f t="shared" ca="1" si="14"/>
        <v>9.7200000000000006</v>
      </c>
      <c r="M128" s="4" t="str">
        <f t="shared" si="15"/>
        <v>Achiving</v>
      </c>
    </row>
    <row r="129" spans="1:13" x14ac:dyDescent="0.25">
      <c r="A129" s="5" t="s">
        <v>36</v>
      </c>
      <c r="B129" s="6" t="s">
        <v>37</v>
      </c>
      <c r="C129" s="6" t="s">
        <v>21</v>
      </c>
      <c r="D129" s="4" t="str">
        <f t="shared" si="12"/>
        <v>Michael Martinez</v>
      </c>
      <c r="E129" s="6" t="s">
        <v>38</v>
      </c>
      <c r="F129" s="16">
        <v>42676</v>
      </c>
      <c r="G129" s="25">
        <v>94998</v>
      </c>
      <c r="H129" s="6">
        <v>58</v>
      </c>
      <c r="I129" s="6" t="s">
        <v>39</v>
      </c>
      <c r="J129" s="6" t="str">
        <f>VLOOKUP(E129,Lookup_Departments!$A$2:$A$7:'Lookup_Departments'!$B$2:$B$7,2,FALSE)</f>
        <v>Sales</v>
      </c>
      <c r="K129" s="11">
        <f t="shared" si="13"/>
        <v>94998</v>
      </c>
      <c r="L129" s="6">
        <f t="shared" ca="1" si="14"/>
        <v>9.7200000000000006</v>
      </c>
      <c r="M129" s="4" t="str">
        <f t="shared" si="15"/>
        <v>Developing</v>
      </c>
    </row>
    <row r="130" spans="1:13" x14ac:dyDescent="0.25">
      <c r="A130" s="7" t="s">
        <v>137</v>
      </c>
      <c r="B130" s="8" t="s">
        <v>91</v>
      </c>
      <c r="C130" s="8" t="s">
        <v>31</v>
      </c>
      <c r="D130" s="4" t="str">
        <f t="shared" ref="D130:D161" si="16">_xlfn.CONCAT(B130," ",C130)</f>
        <v>David Wilson</v>
      </c>
      <c r="E130" s="8" t="s">
        <v>29</v>
      </c>
      <c r="F130" s="17">
        <v>42654</v>
      </c>
      <c r="G130" s="26">
        <v>48823</v>
      </c>
      <c r="H130" s="8">
        <v>34</v>
      </c>
      <c r="I130" s="8" t="s">
        <v>39</v>
      </c>
      <c r="J130" s="8" t="str">
        <f>VLOOKUP(E130,Lookup_Departments!$A$2:$A$7:'Lookup_Departments'!$B$2:$B$7,2,FALSE)</f>
        <v>Operations</v>
      </c>
      <c r="K130" s="12">
        <f t="shared" ref="K130:K161" si="17">IF(G130=0,AVERAGEIF(J:J,J130,G:G),G130)</f>
        <v>48823</v>
      </c>
      <c r="L130" s="8">
        <f t="shared" ref="L130:L151" ca="1" si="18">ROUND(YEARFRAC(F130,TODAY()),2)</f>
        <v>9.7799999999999994</v>
      </c>
      <c r="M130" s="4" t="str">
        <f t="shared" ref="M130:M151" si="19">_xlfn.IFS(H130&lt;=49,"Needs Improvement",H130&lt;=69,"Developing",H130&lt;=84,"Achiving",H130&lt;=94,"Exceeding",H130&lt;=100,"Outstanding")</f>
        <v>Needs Improvement</v>
      </c>
    </row>
    <row r="131" spans="1:13" x14ac:dyDescent="0.25">
      <c r="A131" s="5" t="s">
        <v>98</v>
      </c>
      <c r="B131" s="6" t="s">
        <v>24</v>
      </c>
      <c r="C131" s="6" t="s">
        <v>58</v>
      </c>
      <c r="D131" s="4" t="str">
        <f t="shared" si="16"/>
        <v>Thomas Lopez</v>
      </c>
      <c r="E131" s="6" t="s">
        <v>29</v>
      </c>
      <c r="F131" s="16">
        <v>42647</v>
      </c>
      <c r="G131" s="25">
        <v>105498</v>
      </c>
      <c r="H131" s="6">
        <v>76</v>
      </c>
      <c r="I131" s="6" t="s">
        <v>39</v>
      </c>
      <c r="J131" s="6" t="str">
        <f>VLOOKUP(E131,Lookup_Departments!$A$2:$A$7:'Lookup_Departments'!$B$2:$B$7,2,FALSE)</f>
        <v>Operations</v>
      </c>
      <c r="K131" s="11">
        <f t="shared" si="17"/>
        <v>105498</v>
      </c>
      <c r="L131" s="6">
        <f t="shared" ca="1" si="18"/>
        <v>9.8000000000000007</v>
      </c>
      <c r="M131" s="4" t="str">
        <f t="shared" si="19"/>
        <v>Achiving</v>
      </c>
    </row>
    <row r="132" spans="1:13" x14ac:dyDescent="0.25">
      <c r="A132" s="5" t="s">
        <v>105</v>
      </c>
      <c r="B132" s="6" t="s">
        <v>13</v>
      </c>
      <c r="C132" s="6" t="s">
        <v>53</v>
      </c>
      <c r="D132" s="4" t="str">
        <f t="shared" si="16"/>
        <v>Richard Davis</v>
      </c>
      <c r="E132" s="6" t="s">
        <v>29</v>
      </c>
      <c r="F132" s="16">
        <v>42628</v>
      </c>
      <c r="G132" s="25">
        <v>115527</v>
      </c>
      <c r="H132" s="6">
        <v>63</v>
      </c>
      <c r="I132" s="6" t="s">
        <v>94</v>
      </c>
      <c r="J132" s="6" t="str">
        <f>VLOOKUP(E132,Lookup_Departments!$A$2:$A$7:'Lookup_Departments'!$B$2:$B$7,2,FALSE)</f>
        <v>Operations</v>
      </c>
      <c r="K132" s="11">
        <f t="shared" si="17"/>
        <v>115527</v>
      </c>
      <c r="L132" s="6">
        <f t="shared" ca="1" si="18"/>
        <v>9.85</v>
      </c>
      <c r="M132" s="4" t="str">
        <f t="shared" si="19"/>
        <v>Developing</v>
      </c>
    </row>
    <row r="133" spans="1:13" x14ac:dyDescent="0.25">
      <c r="A133" s="5" t="s">
        <v>186</v>
      </c>
      <c r="B133" s="6" t="s">
        <v>33</v>
      </c>
      <c r="C133" s="6" t="s">
        <v>25</v>
      </c>
      <c r="D133" s="4" t="str">
        <f t="shared" si="16"/>
        <v>Jessica Smith</v>
      </c>
      <c r="E133" s="6" t="s">
        <v>38</v>
      </c>
      <c r="F133" s="16">
        <v>42625</v>
      </c>
      <c r="G133" s="25">
        <v>114681</v>
      </c>
      <c r="H133" s="6">
        <v>36</v>
      </c>
      <c r="I133" s="6" t="s">
        <v>39</v>
      </c>
      <c r="J133" s="6" t="str">
        <f>VLOOKUP(E133,Lookup_Departments!$A$2:$A$7:'Lookup_Departments'!$B$2:$B$7,2,FALSE)</f>
        <v>Sales</v>
      </c>
      <c r="K133" s="11">
        <f t="shared" si="17"/>
        <v>114681</v>
      </c>
      <c r="L133" s="6">
        <f t="shared" ca="1" si="18"/>
        <v>9.86</v>
      </c>
      <c r="M133" s="4" t="str">
        <f t="shared" si="19"/>
        <v>Needs Improvement</v>
      </c>
    </row>
    <row r="134" spans="1:13" x14ac:dyDescent="0.25">
      <c r="A134" s="5" t="s">
        <v>59</v>
      </c>
      <c r="B134" s="6" t="s">
        <v>60</v>
      </c>
      <c r="C134" s="6" t="s">
        <v>17</v>
      </c>
      <c r="D134" s="4" t="str">
        <f t="shared" si="16"/>
        <v>Amanda Gonzalez</v>
      </c>
      <c r="E134" s="6" t="s">
        <v>11</v>
      </c>
      <c r="F134" s="16">
        <v>42575</v>
      </c>
      <c r="G134" s="25">
        <v>79893.409090909088</v>
      </c>
      <c r="H134" s="6">
        <v>75</v>
      </c>
      <c r="I134" s="6" t="s">
        <v>39</v>
      </c>
      <c r="J134" s="6" t="str">
        <f>VLOOKUP(E134,Lookup_Departments!$A$2:$A$7:'Lookup_Departments'!$B$2:$B$7,2,FALSE)</f>
        <v>Information Technology</v>
      </c>
      <c r="K134" s="11">
        <f t="shared" si="17"/>
        <v>79893.409090909088</v>
      </c>
      <c r="L134" s="6">
        <f t="shared" ca="1" si="18"/>
        <v>9.99</v>
      </c>
      <c r="M134" s="4" t="str">
        <f t="shared" si="19"/>
        <v>Achiving</v>
      </c>
    </row>
    <row r="135" spans="1:13" x14ac:dyDescent="0.25">
      <c r="A135" s="5" t="s">
        <v>64</v>
      </c>
      <c r="B135" s="6" t="s">
        <v>33</v>
      </c>
      <c r="C135" s="6" t="s">
        <v>28</v>
      </c>
      <c r="D135" s="4" t="str">
        <f t="shared" si="16"/>
        <v>Jessica Johnson</v>
      </c>
      <c r="E135" s="6" t="s">
        <v>22</v>
      </c>
      <c r="F135" s="16">
        <v>42565</v>
      </c>
      <c r="G135" s="25">
        <v>100851</v>
      </c>
      <c r="H135" s="6">
        <v>64</v>
      </c>
      <c r="I135" s="6" t="s">
        <v>39</v>
      </c>
      <c r="J135" s="6" t="str">
        <f>VLOOKUP(E135,Lookup_Departments!$A$2:$A$7:'Lookup_Departments'!$B$2:$B$7,2,FALSE)</f>
        <v>Finance</v>
      </c>
      <c r="K135" s="11">
        <f t="shared" si="17"/>
        <v>100851</v>
      </c>
      <c r="L135" s="6">
        <f t="shared" ca="1" si="18"/>
        <v>10.02</v>
      </c>
      <c r="M135" s="4" t="str">
        <f t="shared" si="19"/>
        <v>Developing</v>
      </c>
    </row>
    <row r="136" spans="1:13" x14ac:dyDescent="0.25">
      <c r="A136" s="7" t="s">
        <v>237</v>
      </c>
      <c r="B136" s="8" t="s">
        <v>84</v>
      </c>
      <c r="C136" s="8" t="s">
        <v>41</v>
      </c>
      <c r="D136" s="4" t="str">
        <f t="shared" si="16"/>
        <v>Melissa Miller</v>
      </c>
      <c r="E136" s="8" t="s">
        <v>38</v>
      </c>
      <c r="F136" s="17">
        <v>42519</v>
      </c>
      <c r="G136" s="26">
        <v>62798</v>
      </c>
      <c r="H136" s="8">
        <v>30</v>
      </c>
      <c r="I136" s="8" t="s">
        <v>39</v>
      </c>
      <c r="J136" s="8" t="str">
        <f>VLOOKUP(E136,Lookup_Departments!$A$2:$A$7:'Lookup_Departments'!$B$2:$B$7,2,FALSE)</f>
        <v>Sales</v>
      </c>
      <c r="K136" s="12">
        <f t="shared" si="17"/>
        <v>62798</v>
      </c>
      <c r="L136" s="8">
        <f t="shared" ca="1" si="18"/>
        <v>10.15</v>
      </c>
      <c r="M136" s="4" t="str">
        <f t="shared" si="19"/>
        <v>Needs Improvement</v>
      </c>
    </row>
    <row r="137" spans="1:13" x14ac:dyDescent="0.25">
      <c r="A137" s="5" t="s">
        <v>210</v>
      </c>
      <c r="B137" s="6" t="s">
        <v>45</v>
      </c>
      <c r="C137" s="6" t="s">
        <v>53</v>
      </c>
      <c r="D137" s="4" t="str">
        <f t="shared" si="16"/>
        <v>Jane Davis</v>
      </c>
      <c r="E137" s="6" t="s">
        <v>22</v>
      </c>
      <c r="F137" s="16">
        <v>42433</v>
      </c>
      <c r="G137" s="25">
        <v>46390</v>
      </c>
      <c r="H137" s="6">
        <v>95</v>
      </c>
      <c r="I137" s="6" t="s">
        <v>39</v>
      </c>
      <c r="J137" s="6" t="str">
        <f>VLOOKUP(E137,Lookup_Departments!$A$2:$A$7:'Lookup_Departments'!$B$2:$B$7,2,FALSE)</f>
        <v>Finance</v>
      </c>
      <c r="K137" s="11">
        <f t="shared" si="17"/>
        <v>46390</v>
      </c>
      <c r="L137" s="6">
        <f t="shared" ca="1" si="18"/>
        <v>10.38</v>
      </c>
      <c r="M137" s="4" t="str">
        <f t="shared" si="19"/>
        <v>Outstanding</v>
      </c>
    </row>
    <row r="138" spans="1:13" x14ac:dyDescent="0.25">
      <c r="A138" s="7" t="s">
        <v>16</v>
      </c>
      <c r="B138" s="8" t="s">
        <v>9</v>
      </c>
      <c r="C138" s="8" t="s">
        <v>17</v>
      </c>
      <c r="D138" s="4" t="str">
        <f t="shared" si="16"/>
        <v>Emily Gonzalez</v>
      </c>
      <c r="E138" s="8" t="s">
        <v>11</v>
      </c>
      <c r="F138" s="17">
        <v>42431</v>
      </c>
      <c r="G138" s="26" t="s">
        <v>18</v>
      </c>
      <c r="H138" s="8">
        <v>54</v>
      </c>
      <c r="I138" s="8" t="s">
        <v>26</v>
      </c>
      <c r="J138" s="8" t="str">
        <f>VLOOKUP(E138,Lookup_Departments!$A$2:$A$7:'Lookup_Departments'!$B$2:$B$7,2,FALSE)</f>
        <v>Information Technology</v>
      </c>
      <c r="K138" s="12" t="str">
        <f t="shared" si="17"/>
        <v>$114,425</v>
      </c>
      <c r="L138" s="8">
        <f t="shared" ca="1" si="18"/>
        <v>10.39</v>
      </c>
      <c r="M138" s="4" t="str">
        <f t="shared" si="19"/>
        <v>Developing</v>
      </c>
    </row>
    <row r="139" spans="1:13" x14ac:dyDescent="0.25">
      <c r="A139" s="5" t="s">
        <v>43</v>
      </c>
      <c r="B139" s="6" t="s">
        <v>9</v>
      </c>
      <c r="C139" s="6" t="s">
        <v>14</v>
      </c>
      <c r="D139" s="4" t="str">
        <f t="shared" si="16"/>
        <v>Emily Hernandez</v>
      </c>
      <c r="E139" s="6" t="s">
        <v>11</v>
      </c>
      <c r="F139" s="16">
        <v>42425</v>
      </c>
      <c r="G139" s="25">
        <v>76918</v>
      </c>
      <c r="H139" s="6">
        <v>62</v>
      </c>
      <c r="I139" s="6" t="s">
        <v>39</v>
      </c>
      <c r="J139" s="6" t="str">
        <f>VLOOKUP(E139,Lookup_Departments!$A$2:$A$7:'Lookup_Departments'!$B$2:$B$7,2,FALSE)</f>
        <v>Information Technology</v>
      </c>
      <c r="K139" s="11">
        <f t="shared" si="17"/>
        <v>76918</v>
      </c>
      <c r="L139" s="6">
        <f t="shared" ca="1" si="18"/>
        <v>10.41</v>
      </c>
      <c r="M139" s="4" t="str">
        <f t="shared" si="19"/>
        <v>Developing</v>
      </c>
    </row>
    <row r="140" spans="1:13" x14ac:dyDescent="0.25">
      <c r="A140" s="7" t="s">
        <v>52</v>
      </c>
      <c r="B140" s="8" t="s">
        <v>9</v>
      </c>
      <c r="C140" s="8" t="s">
        <v>53</v>
      </c>
      <c r="D140" s="4" t="str">
        <f t="shared" si="16"/>
        <v>Emily Davis</v>
      </c>
      <c r="E140" s="8" t="s">
        <v>11</v>
      </c>
      <c r="F140" s="17">
        <v>42337</v>
      </c>
      <c r="G140" s="26">
        <v>105765</v>
      </c>
      <c r="H140" s="8">
        <v>42</v>
      </c>
      <c r="I140" s="8" t="s">
        <v>39</v>
      </c>
      <c r="J140" s="8" t="str">
        <f>VLOOKUP(E140,Lookup_Departments!$A$2:$A$7:'Lookup_Departments'!$B$2:$B$7,2,FALSE)</f>
        <v>Information Technology</v>
      </c>
      <c r="K140" s="12">
        <f t="shared" si="17"/>
        <v>105765</v>
      </c>
      <c r="L140" s="8">
        <f t="shared" ca="1" si="18"/>
        <v>10.65</v>
      </c>
      <c r="M140" s="4" t="str">
        <f t="shared" si="19"/>
        <v>Needs Improvement</v>
      </c>
    </row>
    <row r="141" spans="1:13" x14ac:dyDescent="0.25">
      <c r="A141" s="5" t="s">
        <v>145</v>
      </c>
      <c r="B141" s="6" t="s">
        <v>33</v>
      </c>
      <c r="C141" s="6" t="s">
        <v>110</v>
      </c>
      <c r="D141" s="4" t="str">
        <f t="shared" si="16"/>
        <v>Jessica Garcia</v>
      </c>
      <c r="E141" s="6" t="s">
        <v>29</v>
      </c>
      <c r="F141" s="16">
        <v>42330</v>
      </c>
      <c r="G141" s="25">
        <v>86480</v>
      </c>
      <c r="H141" s="6">
        <v>65</v>
      </c>
      <c r="I141" s="6" t="s">
        <v>39</v>
      </c>
      <c r="J141" s="6" t="str">
        <f>VLOOKUP(E141,Lookup_Departments!$A$2:$A$7:'Lookup_Departments'!$B$2:$B$7,2,FALSE)</f>
        <v>Operations</v>
      </c>
      <c r="K141" s="11">
        <f t="shared" si="17"/>
        <v>86480</v>
      </c>
      <c r="L141" s="6">
        <f t="shared" ca="1" si="18"/>
        <v>10.67</v>
      </c>
      <c r="M141" s="4" t="str">
        <f t="shared" si="19"/>
        <v>Developing</v>
      </c>
    </row>
    <row r="142" spans="1:13" x14ac:dyDescent="0.25">
      <c r="A142" s="5" t="s">
        <v>161</v>
      </c>
      <c r="B142" s="6" t="s">
        <v>33</v>
      </c>
      <c r="C142" s="6" t="s">
        <v>112</v>
      </c>
      <c r="D142" s="4" t="str">
        <f t="shared" si="16"/>
        <v>Jessica Anderson</v>
      </c>
      <c r="E142" s="6" t="s">
        <v>79</v>
      </c>
      <c r="F142" s="16">
        <v>42304</v>
      </c>
      <c r="G142" s="25">
        <v>56073</v>
      </c>
      <c r="H142" s="6">
        <v>79</v>
      </c>
      <c r="I142" s="6" t="s">
        <v>39</v>
      </c>
      <c r="J142" s="6" t="str">
        <f>VLOOKUP(E142,Lookup_Departments!$A$2:$A$7:'Lookup_Departments'!$B$2:$B$7,2,FALSE)</f>
        <v>Human Resources</v>
      </c>
      <c r="K142" s="11">
        <f t="shared" si="17"/>
        <v>56073</v>
      </c>
      <c r="L142" s="6">
        <f t="shared" ca="1" si="18"/>
        <v>10.74</v>
      </c>
      <c r="M142" s="4" t="str">
        <f t="shared" si="19"/>
        <v>Achiving</v>
      </c>
    </row>
    <row r="143" spans="1:13" x14ac:dyDescent="0.25">
      <c r="A143" s="5" t="s">
        <v>136</v>
      </c>
      <c r="B143" s="6" t="s">
        <v>45</v>
      </c>
      <c r="C143" s="6" t="s">
        <v>17</v>
      </c>
      <c r="D143" s="4" t="str">
        <f t="shared" si="16"/>
        <v>Jane Gonzalez</v>
      </c>
      <c r="E143" s="6" t="s">
        <v>38</v>
      </c>
      <c r="F143" s="16">
        <v>42249</v>
      </c>
      <c r="G143" s="25">
        <v>81083.352941176476</v>
      </c>
      <c r="H143" s="6">
        <v>67</v>
      </c>
      <c r="I143" s="6" t="s">
        <v>39</v>
      </c>
      <c r="J143" s="6" t="str">
        <f>VLOOKUP(E143,Lookup_Departments!$A$2:$A$7:'Lookup_Departments'!$B$2:$B$7,2,FALSE)</f>
        <v>Sales</v>
      </c>
      <c r="K143" s="11">
        <f t="shared" si="17"/>
        <v>81083.352941176476</v>
      </c>
      <c r="L143" s="6">
        <f t="shared" ca="1" si="18"/>
        <v>10.89</v>
      </c>
      <c r="M143" s="4" t="str">
        <f t="shared" si="19"/>
        <v>Developing</v>
      </c>
    </row>
    <row r="144" spans="1:13" x14ac:dyDescent="0.25">
      <c r="A144" s="5" t="s">
        <v>81</v>
      </c>
      <c r="B144" s="6"/>
      <c r="C144" s="6" t="s">
        <v>10</v>
      </c>
      <c r="D144" s="4" t="str">
        <f t="shared" si="16"/>
        <v xml:space="preserve"> Brown</v>
      </c>
      <c r="E144" s="6" t="s">
        <v>11</v>
      </c>
      <c r="F144" s="16">
        <v>42248</v>
      </c>
      <c r="G144" s="25">
        <v>102691</v>
      </c>
      <c r="H144" s="6">
        <v>52</v>
      </c>
      <c r="I144" s="6" t="s">
        <v>39</v>
      </c>
      <c r="J144" s="6" t="str">
        <f>VLOOKUP(E144,Lookup_Departments!$A$2:$A$7:'Lookup_Departments'!$B$2:$B$7,2,FALSE)</f>
        <v>Information Technology</v>
      </c>
      <c r="K144" s="11">
        <f t="shared" si="17"/>
        <v>102691</v>
      </c>
      <c r="L144" s="6">
        <f t="shared" ca="1" si="18"/>
        <v>10.89</v>
      </c>
      <c r="M144" s="4" t="str">
        <f t="shared" si="19"/>
        <v>Developing</v>
      </c>
    </row>
    <row r="145" spans="1:13" x14ac:dyDescent="0.25">
      <c r="A145" s="7" t="s">
        <v>74</v>
      </c>
      <c r="B145" s="8" t="s">
        <v>24</v>
      </c>
      <c r="C145" s="8" t="s">
        <v>14</v>
      </c>
      <c r="D145" s="4" t="str">
        <f t="shared" si="16"/>
        <v>Thomas Hernandez</v>
      </c>
      <c r="E145" s="8" t="s">
        <v>29</v>
      </c>
      <c r="F145" s="17">
        <v>42221</v>
      </c>
      <c r="G145" s="26">
        <v>97055</v>
      </c>
      <c r="H145" s="8">
        <v>80</v>
      </c>
      <c r="I145" s="8" t="s">
        <v>39</v>
      </c>
      <c r="J145" s="8" t="str">
        <f>VLOOKUP(E145,Lookup_Departments!$A$2:$A$7:'Lookup_Departments'!$B$2:$B$7,2,FALSE)</f>
        <v>Operations</v>
      </c>
      <c r="K145" s="12">
        <f t="shared" si="17"/>
        <v>97055</v>
      </c>
      <c r="L145" s="8">
        <f t="shared" ca="1" si="18"/>
        <v>10.96</v>
      </c>
      <c r="M145" s="4" t="str">
        <f t="shared" si="19"/>
        <v>Achiving</v>
      </c>
    </row>
    <row r="146" spans="1:13" x14ac:dyDescent="0.25">
      <c r="A146" s="5" t="s">
        <v>73</v>
      </c>
      <c r="B146" s="6" t="s">
        <v>20</v>
      </c>
      <c r="C146" s="6" t="s">
        <v>35</v>
      </c>
      <c r="D146" s="4" t="str">
        <f t="shared" si="16"/>
        <v>John Rodriguez</v>
      </c>
      <c r="E146" s="6" t="s">
        <v>38</v>
      </c>
      <c r="F146" s="16">
        <v>42202</v>
      </c>
      <c r="G146" s="25">
        <v>81083.352941176476</v>
      </c>
      <c r="H146" s="6">
        <v>68</v>
      </c>
      <c r="I146" s="6" t="s">
        <v>39</v>
      </c>
      <c r="J146" s="6" t="str">
        <f>VLOOKUP(E146,Lookup_Departments!$A$2:$A$7:'Lookup_Departments'!$B$2:$B$7,2,FALSE)</f>
        <v>Sales</v>
      </c>
      <c r="K146" s="11">
        <f t="shared" si="17"/>
        <v>81083.352941176476</v>
      </c>
      <c r="L146" s="6">
        <f t="shared" ca="1" si="18"/>
        <v>11.01</v>
      </c>
      <c r="M146" s="4" t="str">
        <f t="shared" si="19"/>
        <v>Developing</v>
      </c>
    </row>
    <row r="147" spans="1:13" x14ac:dyDescent="0.25">
      <c r="A147" s="7" t="s">
        <v>132</v>
      </c>
      <c r="B147" s="8" t="s">
        <v>133</v>
      </c>
      <c r="C147" s="8" t="s">
        <v>110</v>
      </c>
      <c r="D147" s="4" t="str">
        <f t="shared" si="16"/>
        <v>William Garcia</v>
      </c>
      <c r="E147" s="8" t="s">
        <v>38</v>
      </c>
      <c r="F147" s="17">
        <v>42192</v>
      </c>
      <c r="G147" s="26">
        <v>65235</v>
      </c>
      <c r="H147" s="8">
        <v>97</v>
      </c>
      <c r="I147" s="8" t="s">
        <v>39</v>
      </c>
      <c r="J147" s="8" t="str">
        <f>VLOOKUP(E147,Lookup_Departments!$A$2:$A$7:'Lookup_Departments'!$B$2:$B$7,2,FALSE)</f>
        <v>Sales</v>
      </c>
      <c r="K147" s="12">
        <f t="shared" si="17"/>
        <v>65235</v>
      </c>
      <c r="L147" s="8">
        <f t="shared" ca="1" si="18"/>
        <v>11.04</v>
      </c>
      <c r="M147" s="4" t="str">
        <f t="shared" si="19"/>
        <v>Outstanding</v>
      </c>
    </row>
    <row r="148" spans="1:13" x14ac:dyDescent="0.25">
      <c r="A148" s="7" t="s">
        <v>229</v>
      </c>
      <c r="B148" s="8" t="s">
        <v>84</v>
      </c>
      <c r="C148" s="8" t="s">
        <v>14</v>
      </c>
      <c r="D148" s="4" t="str">
        <f t="shared" si="16"/>
        <v>Melissa Hernandez</v>
      </c>
      <c r="E148" s="8" t="s">
        <v>38</v>
      </c>
      <c r="F148" s="17">
        <v>42175</v>
      </c>
      <c r="G148" s="26">
        <v>81083.352941176476</v>
      </c>
      <c r="H148" s="8">
        <v>94</v>
      </c>
      <c r="I148" s="8" t="s">
        <v>94</v>
      </c>
      <c r="J148" s="8" t="str">
        <f>VLOOKUP(E148,Lookup_Departments!$A$2:$A$7:'Lookup_Departments'!$B$2:$B$7,2,FALSE)</f>
        <v>Sales</v>
      </c>
      <c r="K148" s="12">
        <f t="shared" si="17"/>
        <v>81083.352941176476</v>
      </c>
      <c r="L148" s="8">
        <f t="shared" ca="1" si="18"/>
        <v>11.09</v>
      </c>
      <c r="M148" s="4" t="str">
        <f t="shared" si="19"/>
        <v>Exceeding</v>
      </c>
    </row>
    <row r="149" spans="1:13" x14ac:dyDescent="0.25">
      <c r="A149" s="7" t="s">
        <v>120</v>
      </c>
      <c r="B149" s="8" t="s">
        <v>49</v>
      </c>
      <c r="C149" s="8" t="s">
        <v>41</v>
      </c>
      <c r="D149" s="4" t="str">
        <f t="shared" si="16"/>
        <v>Robert Miller</v>
      </c>
      <c r="E149" s="8" t="s">
        <v>11</v>
      </c>
      <c r="F149" s="17">
        <v>42122</v>
      </c>
      <c r="G149" s="26" t="s">
        <v>121</v>
      </c>
      <c r="H149" s="8">
        <v>64</v>
      </c>
      <c r="I149" s="8" t="s">
        <v>39</v>
      </c>
      <c r="J149" s="8" t="str">
        <f>VLOOKUP(E149,Lookup_Departments!$A$2:$A$7:'Lookup_Departments'!$B$2:$B$7,2,FALSE)</f>
        <v>Information Technology</v>
      </c>
      <c r="K149" s="12" t="str">
        <f t="shared" si="17"/>
        <v>$75,519</v>
      </c>
      <c r="L149" s="8">
        <f t="shared" ca="1" si="18"/>
        <v>11.23</v>
      </c>
      <c r="M149" s="4" t="str">
        <f t="shared" si="19"/>
        <v>Developing</v>
      </c>
    </row>
    <row r="150" spans="1:13" x14ac:dyDescent="0.25">
      <c r="A150" s="5" t="s">
        <v>172</v>
      </c>
      <c r="B150" s="6" t="s">
        <v>45</v>
      </c>
      <c r="C150" s="6" t="s">
        <v>58</v>
      </c>
      <c r="D150" s="4" t="str">
        <f t="shared" si="16"/>
        <v>Jane Lopez</v>
      </c>
      <c r="E150" s="6" t="s">
        <v>15</v>
      </c>
      <c r="F150" s="16">
        <v>42074</v>
      </c>
      <c r="G150" s="25">
        <v>101750</v>
      </c>
      <c r="H150" s="6">
        <v>84</v>
      </c>
      <c r="I150" s="6" t="s">
        <v>26</v>
      </c>
      <c r="J150" s="6" t="str">
        <f>VLOOKUP(E150,Lookup_Departments!$A$2:$A$7:'Lookup_Departments'!$B$2:$B$7,2,FALSE)</f>
        <v>Marketing</v>
      </c>
      <c r="K150" s="11">
        <f t="shared" si="17"/>
        <v>101750</v>
      </c>
      <c r="L150" s="6">
        <f t="shared" ca="1" si="18"/>
        <v>11.36</v>
      </c>
      <c r="M150" s="4" t="str">
        <f t="shared" si="19"/>
        <v>Achiving</v>
      </c>
    </row>
    <row r="151" spans="1:13" x14ac:dyDescent="0.25">
      <c r="A151" s="7" t="s">
        <v>165</v>
      </c>
      <c r="B151" s="8" t="s">
        <v>133</v>
      </c>
      <c r="C151" s="8" t="s">
        <v>17</v>
      </c>
      <c r="D151" s="4" t="str">
        <f t="shared" si="16"/>
        <v>William Gonzalez</v>
      </c>
      <c r="E151" s="8" t="s">
        <v>38</v>
      </c>
      <c r="F151" s="17">
        <v>42008</v>
      </c>
      <c r="G151" s="26" t="s">
        <v>166</v>
      </c>
      <c r="H151" s="8">
        <v>61</v>
      </c>
      <c r="I151" s="8" t="s">
        <v>39</v>
      </c>
      <c r="J151" s="8" t="str">
        <f>VLOOKUP(E151,Lookup_Departments!$A$2:$A$7:'Lookup_Departments'!$B$2:$B$7,2,FALSE)</f>
        <v>Sales</v>
      </c>
      <c r="K151" s="12" t="str">
        <f t="shared" si="17"/>
        <v>$115,288</v>
      </c>
      <c r="L151" s="8">
        <f t="shared" ca="1" si="18"/>
        <v>11.55</v>
      </c>
      <c r="M151" s="4" t="str">
        <f t="shared" si="19"/>
        <v>Developing</v>
      </c>
    </row>
  </sheetData>
  <phoneticPr fontId="3" type="noConversion"/>
  <pageMargins left="0.75" right="0.75" top="1" bottom="1" header="0.5" footer="0.5"/>
  <ignoredErrors>
    <ignoredError sqref="G7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12.42578125" customWidth="1"/>
    <col min="2" max="2" width="22.5703125" bestFit="1" customWidth="1"/>
  </cols>
  <sheetData>
    <row r="1" spans="1:2" x14ac:dyDescent="0.25">
      <c r="A1" s="1" t="s">
        <v>242</v>
      </c>
      <c r="B1" s="1" t="s">
        <v>243</v>
      </c>
    </row>
    <row r="2" spans="1:2" x14ac:dyDescent="0.25">
      <c r="A2" t="s">
        <v>79</v>
      </c>
      <c r="B2" t="s">
        <v>244</v>
      </c>
    </row>
    <row r="3" spans="1:2" x14ac:dyDescent="0.25">
      <c r="A3" t="s">
        <v>11</v>
      </c>
      <c r="B3" t="s">
        <v>245</v>
      </c>
    </row>
    <row r="4" spans="1:2" x14ac:dyDescent="0.25">
      <c r="A4" t="s">
        <v>22</v>
      </c>
      <c r="B4" t="s">
        <v>246</v>
      </c>
    </row>
    <row r="5" spans="1:2" x14ac:dyDescent="0.25">
      <c r="A5" t="s">
        <v>15</v>
      </c>
      <c r="B5" t="s">
        <v>247</v>
      </c>
    </row>
    <row r="6" spans="1:2" x14ac:dyDescent="0.25">
      <c r="A6" t="s">
        <v>38</v>
      </c>
      <c r="B6" t="s">
        <v>248</v>
      </c>
    </row>
    <row r="7" spans="1:2" x14ac:dyDescent="0.25">
      <c r="A7" t="s">
        <v>29</v>
      </c>
      <c r="B7" t="s">
        <v>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cols>
    <col min="2" max="2" width="10.7109375" bestFit="1" customWidth="1"/>
    <col min="3" max="3" width="19.5703125" bestFit="1" customWidth="1"/>
    <col min="4" max="4" width="17.7109375" bestFit="1" customWidth="1"/>
  </cols>
  <sheetData>
    <row r="1" spans="1:4" x14ac:dyDescent="0.25">
      <c r="A1" s="1" t="s">
        <v>250</v>
      </c>
      <c r="B1" s="1" t="s">
        <v>251</v>
      </c>
      <c r="C1" s="1" t="s">
        <v>252</v>
      </c>
      <c r="D1" s="1" t="s">
        <v>253</v>
      </c>
    </row>
    <row r="2" spans="1:4" x14ac:dyDescent="0.25">
      <c r="A2">
        <v>0</v>
      </c>
      <c r="B2">
        <v>49</v>
      </c>
      <c r="C2" t="s">
        <v>254</v>
      </c>
      <c r="D2">
        <v>0</v>
      </c>
    </row>
    <row r="3" spans="1:4" x14ac:dyDescent="0.25">
      <c r="A3">
        <v>50</v>
      </c>
      <c r="B3">
        <v>69</v>
      </c>
      <c r="C3" t="s">
        <v>255</v>
      </c>
      <c r="D3">
        <v>0.02</v>
      </c>
    </row>
    <row r="4" spans="1:4" x14ac:dyDescent="0.25">
      <c r="A4">
        <v>70</v>
      </c>
      <c r="B4">
        <v>84</v>
      </c>
      <c r="C4" t="s">
        <v>256</v>
      </c>
      <c r="D4">
        <v>0.05</v>
      </c>
    </row>
    <row r="5" spans="1:4" x14ac:dyDescent="0.25">
      <c r="A5">
        <v>85</v>
      </c>
      <c r="B5">
        <v>94</v>
      </c>
      <c r="C5" t="s">
        <v>257</v>
      </c>
      <c r="D5">
        <v>0.08</v>
      </c>
    </row>
    <row r="6" spans="1:4" x14ac:dyDescent="0.25">
      <c r="A6">
        <v>95</v>
      </c>
      <c r="B6">
        <v>100</v>
      </c>
      <c r="C6" t="s">
        <v>258</v>
      </c>
      <c r="D6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B892-6ADA-432F-B427-8FB628D21925}">
  <dimension ref="A1:N119"/>
  <sheetViews>
    <sheetView topLeftCell="C1" workbookViewId="0">
      <selection activeCell="C18" sqref="C18"/>
    </sheetView>
  </sheetViews>
  <sheetFormatPr defaultRowHeight="15" x14ac:dyDescent="0.25"/>
  <cols>
    <col min="1" max="1" width="9.42578125" bestFit="1" customWidth="1"/>
    <col min="2" max="2" width="13.42578125" bestFit="1" customWidth="1"/>
    <col min="3" max="3" width="13" bestFit="1" customWidth="1"/>
    <col min="4" max="4" width="18.28515625" bestFit="1" customWidth="1"/>
    <col min="5" max="5" width="12.5703125" bestFit="1" customWidth="1"/>
    <col min="6" max="6" width="11.5703125" bestFit="1" customWidth="1"/>
    <col min="7" max="7" width="9.28515625" bestFit="1" customWidth="1"/>
    <col min="8" max="8" width="12.85546875" bestFit="1" customWidth="1"/>
    <col min="9" max="9" width="20.7109375" bestFit="1" customWidth="1"/>
    <col min="10" max="10" width="22.5703125" bestFit="1" customWidth="1"/>
    <col min="11" max="11" width="11" bestFit="1" customWidth="1"/>
    <col min="12" max="12" width="18.42578125" bestFit="1" customWidth="1"/>
    <col min="13" max="13" width="19.5703125" bestFit="1" customWidth="1"/>
    <col min="14" max="14" width="9.7109375" bestFit="1" customWidth="1"/>
  </cols>
  <sheetData>
    <row r="1" spans="1:14" x14ac:dyDescent="0.25">
      <c r="A1" s="28" t="s">
        <v>374</v>
      </c>
    </row>
    <row r="3" spans="1:14" x14ac:dyDescent="0.25">
      <c r="A3" t="s">
        <v>0</v>
      </c>
      <c r="B3" t="s">
        <v>1</v>
      </c>
      <c r="C3" t="s">
        <v>2</v>
      </c>
      <c r="D3" t="s">
        <v>259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260</v>
      </c>
      <c r="K3" t="s">
        <v>261</v>
      </c>
      <c r="L3" t="s">
        <v>262</v>
      </c>
      <c r="M3" t="s">
        <v>263</v>
      </c>
      <c r="N3" t="s">
        <v>264</v>
      </c>
    </row>
    <row r="4" spans="1:14" x14ac:dyDescent="0.25">
      <c r="A4" t="s">
        <v>19</v>
      </c>
      <c r="B4" t="s">
        <v>20</v>
      </c>
      <c r="C4" t="s">
        <v>21</v>
      </c>
      <c r="D4" t="s">
        <v>280</v>
      </c>
      <c r="E4" t="s">
        <v>22</v>
      </c>
      <c r="F4" s="34">
        <v>45110</v>
      </c>
      <c r="G4">
        <v>103831</v>
      </c>
      <c r="H4">
        <v>70</v>
      </c>
      <c r="I4" t="s">
        <v>39</v>
      </c>
      <c r="J4" t="s">
        <v>246</v>
      </c>
      <c r="K4">
        <v>103831</v>
      </c>
      <c r="L4">
        <v>3.03</v>
      </c>
      <c r="M4" t="s">
        <v>272</v>
      </c>
    </row>
    <row r="5" spans="1:14" x14ac:dyDescent="0.25">
      <c r="A5" t="s">
        <v>34</v>
      </c>
      <c r="C5" t="s">
        <v>35</v>
      </c>
      <c r="D5" t="s">
        <v>281</v>
      </c>
      <c r="E5" t="s">
        <v>22</v>
      </c>
      <c r="F5" s="34">
        <v>43107</v>
      </c>
      <c r="G5">
        <v>102139</v>
      </c>
      <c r="H5">
        <v>79</v>
      </c>
      <c r="I5" t="s">
        <v>39</v>
      </c>
      <c r="J5" t="s">
        <v>246</v>
      </c>
      <c r="K5">
        <v>102139</v>
      </c>
      <c r="L5">
        <v>8.52</v>
      </c>
      <c r="M5" t="s">
        <v>272</v>
      </c>
    </row>
    <row r="6" spans="1:14" x14ac:dyDescent="0.25">
      <c r="A6" t="s">
        <v>61</v>
      </c>
      <c r="B6" t="s">
        <v>37</v>
      </c>
      <c r="C6" t="s">
        <v>14</v>
      </c>
      <c r="D6" t="s">
        <v>282</v>
      </c>
      <c r="E6" t="s">
        <v>22</v>
      </c>
      <c r="F6" s="34">
        <v>43076</v>
      </c>
      <c r="G6">
        <v>118527</v>
      </c>
      <c r="H6">
        <v>50</v>
      </c>
      <c r="I6" t="s">
        <v>39</v>
      </c>
      <c r="J6" t="s">
        <v>246</v>
      </c>
      <c r="K6">
        <v>118527</v>
      </c>
      <c r="L6">
        <v>8.61</v>
      </c>
      <c r="M6" t="s">
        <v>255</v>
      </c>
    </row>
    <row r="7" spans="1:14" x14ac:dyDescent="0.25">
      <c r="A7" t="s">
        <v>236</v>
      </c>
      <c r="B7" t="s">
        <v>133</v>
      </c>
      <c r="C7" t="s">
        <v>35</v>
      </c>
      <c r="D7" t="s">
        <v>283</v>
      </c>
      <c r="E7" t="s">
        <v>22</v>
      </c>
      <c r="F7" s="34">
        <v>45037</v>
      </c>
      <c r="G7">
        <v>85457</v>
      </c>
      <c r="H7">
        <v>79</v>
      </c>
      <c r="I7" t="s">
        <v>39</v>
      </c>
      <c r="J7" t="s">
        <v>246</v>
      </c>
      <c r="K7">
        <v>85457</v>
      </c>
      <c r="L7">
        <v>3.23</v>
      </c>
      <c r="M7" t="s">
        <v>272</v>
      </c>
    </row>
    <row r="8" spans="1:14" x14ac:dyDescent="0.25">
      <c r="A8" t="s">
        <v>64</v>
      </c>
      <c r="B8" t="s">
        <v>33</v>
      </c>
      <c r="C8" t="s">
        <v>28</v>
      </c>
      <c r="D8" t="s">
        <v>284</v>
      </c>
      <c r="E8" t="s">
        <v>22</v>
      </c>
      <c r="F8" s="34">
        <v>42565</v>
      </c>
      <c r="G8">
        <v>100851</v>
      </c>
      <c r="H8">
        <v>64</v>
      </c>
      <c r="I8" t="s">
        <v>39</v>
      </c>
      <c r="J8" t="s">
        <v>246</v>
      </c>
      <c r="K8">
        <v>100851</v>
      </c>
      <c r="L8">
        <v>10</v>
      </c>
      <c r="M8" t="s">
        <v>255</v>
      </c>
    </row>
    <row r="9" spans="1:14" x14ac:dyDescent="0.25">
      <c r="A9" t="s">
        <v>72</v>
      </c>
      <c r="B9" t="s">
        <v>37</v>
      </c>
      <c r="C9" t="s">
        <v>31</v>
      </c>
      <c r="D9" t="s">
        <v>285</v>
      </c>
      <c r="E9" t="s">
        <v>22</v>
      </c>
      <c r="F9" s="34">
        <v>43233</v>
      </c>
      <c r="G9">
        <v>85312</v>
      </c>
      <c r="H9">
        <v>66</v>
      </c>
      <c r="I9" t="s">
        <v>39</v>
      </c>
      <c r="J9" t="s">
        <v>246</v>
      </c>
      <c r="K9">
        <v>85312</v>
      </c>
      <c r="L9">
        <v>8.17</v>
      </c>
      <c r="M9" t="s">
        <v>255</v>
      </c>
    </row>
    <row r="10" spans="1:14" x14ac:dyDescent="0.25">
      <c r="A10" t="s">
        <v>80</v>
      </c>
      <c r="B10" t="s">
        <v>9</v>
      </c>
      <c r="C10" t="s">
        <v>50</v>
      </c>
      <c r="D10" t="s">
        <v>286</v>
      </c>
      <c r="E10" t="s">
        <v>22</v>
      </c>
      <c r="F10" s="34">
        <v>42919</v>
      </c>
      <c r="G10">
        <v>113389</v>
      </c>
      <c r="H10">
        <v>30</v>
      </c>
      <c r="I10" t="s">
        <v>39</v>
      </c>
      <c r="J10" t="s">
        <v>246</v>
      </c>
      <c r="K10">
        <v>113389</v>
      </c>
      <c r="L10">
        <v>9.0299999999999994</v>
      </c>
      <c r="M10" t="s">
        <v>254</v>
      </c>
    </row>
    <row r="11" spans="1:14" x14ac:dyDescent="0.25">
      <c r="A11" t="s">
        <v>225</v>
      </c>
      <c r="B11" t="s">
        <v>13</v>
      </c>
      <c r="C11" t="s">
        <v>46</v>
      </c>
      <c r="D11" t="s">
        <v>287</v>
      </c>
      <c r="E11" t="s">
        <v>22</v>
      </c>
      <c r="F11" t="s">
        <v>226</v>
      </c>
      <c r="G11">
        <v>87938.5</v>
      </c>
      <c r="H11">
        <v>62</v>
      </c>
      <c r="I11" t="s">
        <v>39</v>
      </c>
      <c r="J11" t="s">
        <v>246</v>
      </c>
      <c r="K11">
        <v>87938.5</v>
      </c>
      <c r="L11">
        <v>10.73</v>
      </c>
      <c r="M11" t="s">
        <v>255</v>
      </c>
    </row>
    <row r="12" spans="1:14" x14ac:dyDescent="0.25">
      <c r="A12" t="s">
        <v>106</v>
      </c>
      <c r="B12" t="s">
        <v>24</v>
      </c>
      <c r="C12" t="s">
        <v>35</v>
      </c>
      <c r="D12" t="s">
        <v>288</v>
      </c>
      <c r="E12" t="s">
        <v>22</v>
      </c>
      <c r="F12" t="s">
        <v>107</v>
      </c>
      <c r="G12">
        <v>55920</v>
      </c>
      <c r="H12">
        <v>84</v>
      </c>
      <c r="I12" t="s">
        <v>39</v>
      </c>
      <c r="J12" t="s">
        <v>246</v>
      </c>
      <c r="K12">
        <v>55920</v>
      </c>
      <c r="L12">
        <v>6.77</v>
      </c>
      <c r="M12" t="s">
        <v>272</v>
      </c>
    </row>
    <row r="13" spans="1:14" x14ac:dyDescent="0.25">
      <c r="A13" t="s">
        <v>218</v>
      </c>
      <c r="B13" t="s">
        <v>84</v>
      </c>
      <c r="C13" t="s">
        <v>28</v>
      </c>
      <c r="D13" t="s">
        <v>289</v>
      </c>
      <c r="E13" t="s">
        <v>22</v>
      </c>
      <c r="F13" s="34">
        <v>43091</v>
      </c>
      <c r="G13">
        <v>88005</v>
      </c>
      <c r="H13">
        <v>69</v>
      </c>
      <c r="I13" t="s">
        <v>39</v>
      </c>
      <c r="J13" t="s">
        <v>246</v>
      </c>
      <c r="K13">
        <v>88005</v>
      </c>
      <c r="L13">
        <v>8.56</v>
      </c>
      <c r="M13" t="s">
        <v>255</v>
      </c>
    </row>
    <row r="14" spans="1:14" x14ac:dyDescent="0.25">
      <c r="A14" t="s">
        <v>122</v>
      </c>
      <c r="B14" t="s">
        <v>45</v>
      </c>
      <c r="C14" t="s">
        <v>53</v>
      </c>
      <c r="D14" t="s">
        <v>290</v>
      </c>
      <c r="E14" t="s">
        <v>22</v>
      </c>
      <c r="F14" s="34">
        <v>42838</v>
      </c>
      <c r="G14">
        <v>103891</v>
      </c>
      <c r="H14">
        <v>80</v>
      </c>
      <c r="I14" t="s">
        <v>39</v>
      </c>
      <c r="J14" t="s">
        <v>246</v>
      </c>
      <c r="K14">
        <v>103891</v>
      </c>
      <c r="L14">
        <v>9.26</v>
      </c>
      <c r="M14" t="s">
        <v>272</v>
      </c>
    </row>
    <row r="15" spans="1:14" x14ac:dyDescent="0.25">
      <c r="A15" t="s">
        <v>210</v>
      </c>
      <c r="B15" t="s">
        <v>45</v>
      </c>
      <c r="C15" t="s">
        <v>53</v>
      </c>
      <c r="D15" t="s">
        <v>290</v>
      </c>
      <c r="E15" t="s">
        <v>22</v>
      </c>
      <c r="F15" s="34">
        <v>42433</v>
      </c>
      <c r="G15">
        <v>46390</v>
      </c>
      <c r="H15">
        <v>95</v>
      </c>
      <c r="I15" t="s">
        <v>39</v>
      </c>
      <c r="J15" t="s">
        <v>246</v>
      </c>
      <c r="K15">
        <v>46390</v>
      </c>
      <c r="L15">
        <v>10.36</v>
      </c>
      <c r="M15" t="s">
        <v>258</v>
      </c>
    </row>
    <row r="16" spans="1:14" x14ac:dyDescent="0.25">
      <c r="A16" t="s">
        <v>150</v>
      </c>
      <c r="B16" t="s">
        <v>24</v>
      </c>
      <c r="C16" t="s">
        <v>46</v>
      </c>
      <c r="D16" t="s">
        <v>291</v>
      </c>
      <c r="E16" t="s">
        <v>22</v>
      </c>
      <c r="F16" s="34">
        <v>44759</v>
      </c>
      <c r="G16">
        <v>98299</v>
      </c>
      <c r="H16">
        <v>61</v>
      </c>
      <c r="I16" t="s">
        <v>39</v>
      </c>
      <c r="J16" t="s">
        <v>246</v>
      </c>
      <c r="K16">
        <v>98299</v>
      </c>
      <c r="L16">
        <v>3.99</v>
      </c>
      <c r="M16" t="s">
        <v>255</v>
      </c>
    </row>
    <row r="17" spans="1:13" x14ac:dyDescent="0.25">
      <c r="A17" t="s">
        <v>151</v>
      </c>
      <c r="B17" t="s">
        <v>91</v>
      </c>
      <c r="C17" t="s">
        <v>46</v>
      </c>
      <c r="D17" t="s">
        <v>292</v>
      </c>
      <c r="E17" t="s">
        <v>22</v>
      </c>
      <c r="F17" s="34">
        <v>44234</v>
      </c>
      <c r="G17">
        <v>87938.5</v>
      </c>
      <c r="H17">
        <v>68</v>
      </c>
      <c r="I17" t="s">
        <v>39</v>
      </c>
      <c r="J17" t="s">
        <v>246</v>
      </c>
      <c r="K17">
        <v>87938.5</v>
      </c>
      <c r="L17">
        <v>5.44</v>
      </c>
      <c r="M17" t="s">
        <v>255</v>
      </c>
    </row>
    <row r="18" spans="1:13" x14ac:dyDescent="0.25">
      <c r="A18" t="s">
        <v>78</v>
      </c>
      <c r="B18" t="s">
        <v>45</v>
      </c>
      <c r="C18" t="s">
        <v>21</v>
      </c>
      <c r="D18" t="s">
        <v>293</v>
      </c>
      <c r="E18" t="s">
        <v>79</v>
      </c>
      <c r="F18" s="34">
        <v>44578</v>
      </c>
      <c r="G18">
        <v>59899</v>
      </c>
      <c r="H18">
        <v>78</v>
      </c>
      <c r="I18" t="s">
        <v>39</v>
      </c>
      <c r="J18" t="s">
        <v>244</v>
      </c>
      <c r="K18">
        <v>59899</v>
      </c>
      <c r="L18">
        <v>4.49</v>
      </c>
      <c r="M18" t="s">
        <v>272</v>
      </c>
    </row>
    <row r="19" spans="1:13" x14ac:dyDescent="0.25">
      <c r="A19" t="s">
        <v>104</v>
      </c>
      <c r="B19" t="s">
        <v>45</v>
      </c>
      <c r="C19" t="s">
        <v>53</v>
      </c>
      <c r="D19" t="s">
        <v>290</v>
      </c>
      <c r="E19" t="s">
        <v>79</v>
      </c>
      <c r="F19" s="34">
        <v>44612</v>
      </c>
      <c r="G19">
        <v>93290</v>
      </c>
      <c r="H19">
        <v>53</v>
      </c>
      <c r="I19" t="s">
        <v>39</v>
      </c>
      <c r="J19" t="s">
        <v>244</v>
      </c>
      <c r="K19">
        <v>93290</v>
      </c>
      <c r="L19">
        <v>4.4000000000000004</v>
      </c>
      <c r="M19" t="s">
        <v>255</v>
      </c>
    </row>
    <row r="20" spans="1:13" x14ac:dyDescent="0.25">
      <c r="A20" t="s">
        <v>109</v>
      </c>
      <c r="B20" t="s">
        <v>9</v>
      </c>
      <c r="C20" t="s">
        <v>110</v>
      </c>
      <c r="D20" t="s">
        <v>294</v>
      </c>
      <c r="E20" t="s">
        <v>79</v>
      </c>
      <c r="F20" s="34">
        <v>44189</v>
      </c>
      <c r="G20">
        <v>118947</v>
      </c>
      <c r="H20">
        <v>96</v>
      </c>
      <c r="I20" t="s">
        <v>39</v>
      </c>
      <c r="J20" t="s">
        <v>244</v>
      </c>
      <c r="K20">
        <v>118947</v>
      </c>
      <c r="L20">
        <v>5.56</v>
      </c>
      <c r="M20" t="s">
        <v>258</v>
      </c>
    </row>
    <row r="21" spans="1:13" x14ac:dyDescent="0.25">
      <c r="A21" t="s">
        <v>114</v>
      </c>
      <c r="B21" t="s">
        <v>91</v>
      </c>
      <c r="C21" t="s">
        <v>21</v>
      </c>
      <c r="D21" t="s">
        <v>295</v>
      </c>
      <c r="E21" t="s">
        <v>79</v>
      </c>
      <c r="F21" t="s">
        <v>115</v>
      </c>
      <c r="G21">
        <v>91655</v>
      </c>
      <c r="H21">
        <v>95</v>
      </c>
      <c r="I21" t="s">
        <v>39</v>
      </c>
      <c r="J21" t="s">
        <v>244</v>
      </c>
      <c r="K21">
        <v>91655</v>
      </c>
      <c r="L21">
        <v>8.44</v>
      </c>
      <c r="M21" t="s">
        <v>258</v>
      </c>
    </row>
    <row r="22" spans="1:13" x14ac:dyDescent="0.25">
      <c r="A22" t="s">
        <v>118</v>
      </c>
      <c r="B22" t="s">
        <v>37</v>
      </c>
      <c r="C22" t="s">
        <v>112</v>
      </c>
      <c r="D22" t="s">
        <v>296</v>
      </c>
      <c r="E22" t="s">
        <v>79</v>
      </c>
      <c r="F22" s="34">
        <v>44079</v>
      </c>
      <c r="G22">
        <v>114748</v>
      </c>
      <c r="H22">
        <v>33</v>
      </c>
      <c r="I22" t="s">
        <v>39</v>
      </c>
      <c r="J22" t="s">
        <v>244</v>
      </c>
      <c r="K22">
        <v>114748</v>
      </c>
      <c r="L22">
        <v>5.86</v>
      </c>
      <c r="M22" t="s">
        <v>254</v>
      </c>
    </row>
    <row r="23" spans="1:13" x14ac:dyDescent="0.25">
      <c r="A23" t="s">
        <v>212</v>
      </c>
      <c r="B23" t="s">
        <v>91</v>
      </c>
      <c r="C23" t="s">
        <v>112</v>
      </c>
      <c r="D23" t="s">
        <v>297</v>
      </c>
      <c r="E23" t="s">
        <v>79</v>
      </c>
      <c r="F23" s="34">
        <v>42944</v>
      </c>
      <c r="G23" t="s">
        <v>213</v>
      </c>
      <c r="H23">
        <v>42</v>
      </c>
      <c r="I23" t="s">
        <v>39</v>
      </c>
      <c r="J23" t="s">
        <v>244</v>
      </c>
      <c r="K23" t="s">
        <v>213</v>
      </c>
      <c r="L23">
        <v>8.9600000000000009</v>
      </c>
      <c r="M23" t="s">
        <v>254</v>
      </c>
    </row>
    <row r="24" spans="1:13" x14ac:dyDescent="0.25">
      <c r="A24" t="s">
        <v>130</v>
      </c>
      <c r="B24" t="s">
        <v>84</v>
      </c>
      <c r="C24" t="s">
        <v>46</v>
      </c>
      <c r="D24" t="s">
        <v>298</v>
      </c>
      <c r="E24" t="s">
        <v>79</v>
      </c>
      <c r="F24" s="34">
        <v>44402</v>
      </c>
      <c r="G24">
        <v>88223.692307692312</v>
      </c>
      <c r="H24">
        <v>36</v>
      </c>
      <c r="I24" t="s">
        <v>39</v>
      </c>
      <c r="J24" t="s">
        <v>244</v>
      </c>
      <c r="K24">
        <v>88223.692307692312</v>
      </c>
      <c r="L24">
        <v>4.97</v>
      </c>
      <c r="M24" t="s">
        <v>254</v>
      </c>
    </row>
    <row r="25" spans="1:13" x14ac:dyDescent="0.25">
      <c r="A25" t="s">
        <v>131</v>
      </c>
      <c r="B25" t="s">
        <v>49</v>
      </c>
      <c r="C25" t="s">
        <v>41</v>
      </c>
      <c r="D25" t="s">
        <v>299</v>
      </c>
      <c r="E25" t="s">
        <v>79</v>
      </c>
      <c r="F25" s="34">
        <v>43008</v>
      </c>
      <c r="G25">
        <v>55270</v>
      </c>
      <c r="H25">
        <v>87</v>
      </c>
      <c r="I25" t="s">
        <v>39</v>
      </c>
      <c r="J25" t="s">
        <v>244</v>
      </c>
      <c r="K25">
        <v>55270</v>
      </c>
      <c r="L25">
        <v>8.7899999999999991</v>
      </c>
      <c r="M25" t="s">
        <v>257</v>
      </c>
    </row>
    <row r="26" spans="1:13" x14ac:dyDescent="0.25">
      <c r="A26" t="s">
        <v>209</v>
      </c>
      <c r="B26" t="s">
        <v>91</v>
      </c>
      <c r="C26" t="s">
        <v>46</v>
      </c>
      <c r="D26" t="s">
        <v>292</v>
      </c>
      <c r="E26" t="s">
        <v>79</v>
      </c>
      <c r="F26" s="34">
        <v>43301</v>
      </c>
      <c r="G26">
        <v>85151</v>
      </c>
      <c r="H26">
        <v>35</v>
      </c>
      <c r="I26" t="s">
        <v>39</v>
      </c>
      <c r="J26" t="s">
        <v>244</v>
      </c>
      <c r="K26">
        <v>85151</v>
      </c>
      <c r="L26">
        <v>7.99</v>
      </c>
      <c r="M26" t="s">
        <v>254</v>
      </c>
    </row>
    <row r="27" spans="1:13" x14ac:dyDescent="0.25">
      <c r="A27" t="s">
        <v>146</v>
      </c>
      <c r="B27" t="s">
        <v>13</v>
      </c>
      <c r="C27" t="s">
        <v>25</v>
      </c>
      <c r="D27" t="s">
        <v>300</v>
      </c>
      <c r="E27" t="s">
        <v>79</v>
      </c>
      <c r="F27" t="s">
        <v>147</v>
      </c>
      <c r="G27" t="s">
        <v>148</v>
      </c>
      <c r="H27">
        <v>75</v>
      </c>
      <c r="I27" t="s">
        <v>39</v>
      </c>
      <c r="J27" t="s">
        <v>244</v>
      </c>
      <c r="K27" t="s">
        <v>148</v>
      </c>
      <c r="L27">
        <v>7.79</v>
      </c>
      <c r="M27" t="s">
        <v>272</v>
      </c>
    </row>
    <row r="28" spans="1:13" x14ac:dyDescent="0.25">
      <c r="A28" t="s">
        <v>204</v>
      </c>
      <c r="B28" t="s">
        <v>55</v>
      </c>
      <c r="C28" t="s">
        <v>28</v>
      </c>
      <c r="D28" t="s">
        <v>301</v>
      </c>
      <c r="E28" t="s">
        <v>79</v>
      </c>
      <c r="F28" s="34">
        <v>44053</v>
      </c>
      <c r="G28" t="s">
        <v>205</v>
      </c>
      <c r="H28">
        <v>93</v>
      </c>
      <c r="I28" t="s">
        <v>39</v>
      </c>
      <c r="J28" t="s">
        <v>244</v>
      </c>
      <c r="K28" t="s">
        <v>205</v>
      </c>
      <c r="L28">
        <v>5.93</v>
      </c>
      <c r="M28" t="s">
        <v>257</v>
      </c>
    </row>
    <row r="29" spans="1:13" x14ac:dyDescent="0.25">
      <c r="A29" t="s">
        <v>156</v>
      </c>
      <c r="B29" t="s">
        <v>9</v>
      </c>
      <c r="C29" t="s">
        <v>17</v>
      </c>
      <c r="D29" t="s">
        <v>302</v>
      </c>
      <c r="E29" t="s">
        <v>79</v>
      </c>
      <c r="F29" s="34">
        <v>43796</v>
      </c>
      <c r="G29">
        <v>86232</v>
      </c>
      <c r="H29">
        <v>93</v>
      </c>
      <c r="I29" t="s">
        <v>39</v>
      </c>
      <c r="J29" t="s">
        <v>244</v>
      </c>
      <c r="K29">
        <v>86232</v>
      </c>
      <c r="L29">
        <v>6.63</v>
      </c>
      <c r="M29" t="s">
        <v>257</v>
      </c>
    </row>
    <row r="30" spans="1:13" x14ac:dyDescent="0.25">
      <c r="A30" t="s">
        <v>161</v>
      </c>
      <c r="B30" t="s">
        <v>33</v>
      </c>
      <c r="C30" t="s">
        <v>112</v>
      </c>
      <c r="D30" t="s">
        <v>303</v>
      </c>
      <c r="E30" t="s">
        <v>79</v>
      </c>
      <c r="F30" s="34">
        <v>42304</v>
      </c>
      <c r="G30">
        <v>56073</v>
      </c>
      <c r="H30">
        <v>79</v>
      </c>
      <c r="I30" t="s">
        <v>39</v>
      </c>
      <c r="J30" t="s">
        <v>244</v>
      </c>
      <c r="K30">
        <v>56073</v>
      </c>
      <c r="L30">
        <v>10.72</v>
      </c>
      <c r="M30" t="s">
        <v>272</v>
      </c>
    </row>
    <row r="31" spans="1:13" x14ac:dyDescent="0.25">
      <c r="A31" t="s">
        <v>198</v>
      </c>
      <c r="B31" t="s">
        <v>77</v>
      </c>
      <c r="C31" t="s">
        <v>35</v>
      </c>
      <c r="D31" t="s">
        <v>304</v>
      </c>
      <c r="E31" t="s">
        <v>79</v>
      </c>
      <c r="F31" t="s">
        <v>199</v>
      </c>
      <c r="G31">
        <v>115260</v>
      </c>
      <c r="H31">
        <v>77</v>
      </c>
      <c r="I31" t="s">
        <v>39</v>
      </c>
      <c r="J31" t="s">
        <v>244</v>
      </c>
      <c r="K31">
        <v>115260</v>
      </c>
      <c r="L31">
        <v>3.24</v>
      </c>
      <c r="M31" t="s">
        <v>272</v>
      </c>
    </row>
    <row r="32" spans="1:13" x14ac:dyDescent="0.25">
      <c r="A32" t="s">
        <v>182</v>
      </c>
      <c r="B32" t="s">
        <v>33</v>
      </c>
      <c r="C32" t="s">
        <v>17</v>
      </c>
      <c r="D32" t="s">
        <v>305</v>
      </c>
      <c r="E32" t="s">
        <v>79</v>
      </c>
      <c r="F32" s="34">
        <v>42687</v>
      </c>
      <c r="G32" t="s">
        <v>183</v>
      </c>
      <c r="H32">
        <v>77</v>
      </c>
      <c r="I32" t="s">
        <v>39</v>
      </c>
      <c r="J32" t="s">
        <v>244</v>
      </c>
      <c r="K32" t="s">
        <v>183</v>
      </c>
      <c r="L32">
        <v>9.67</v>
      </c>
      <c r="M32" t="s">
        <v>272</v>
      </c>
    </row>
    <row r="33" spans="1:14" x14ac:dyDescent="0.25">
      <c r="A33" t="s">
        <v>8</v>
      </c>
      <c r="B33" t="s">
        <v>9</v>
      </c>
      <c r="C33" t="s">
        <v>10</v>
      </c>
      <c r="D33" t="s">
        <v>306</v>
      </c>
      <c r="E33" t="s">
        <v>11</v>
      </c>
      <c r="F33" s="34">
        <v>43093</v>
      </c>
      <c r="G33">
        <v>50361</v>
      </c>
      <c r="H33">
        <v>52</v>
      </c>
      <c r="I33" t="s">
        <v>39</v>
      </c>
      <c r="J33" t="s">
        <v>245</v>
      </c>
      <c r="K33">
        <v>50361</v>
      </c>
      <c r="L33">
        <v>8.56</v>
      </c>
      <c r="M33" t="s">
        <v>255</v>
      </c>
      <c r="N33" t="e">
        <v>#N/A</v>
      </c>
    </row>
    <row r="34" spans="1:14" x14ac:dyDescent="0.25">
      <c r="A34" t="s">
        <v>240</v>
      </c>
      <c r="B34" t="s">
        <v>60</v>
      </c>
      <c r="C34" t="s">
        <v>10</v>
      </c>
      <c r="D34" t="s">
        <v>307</v>
      </c>
      <c r="E34" t="s">
        <v>11</v>
      </c>
      <c r="F34" s="34">
        <v>44848</v>
      </c>
      <c r="G34" t="s">
        <v>241</v>
      </c>
      <c r="H34">
        <v>91</v>
      </c>
      <c r="I34" t="s">
        <v>39</v>
      </c>
      <c r="J34" t="s">
        <v>245</v>
      </c>
      <c r="K34" t="s">
        <v>241</v>
      </c>
      <c r="L34">
        <v>3.75</v>
      </c>
      <c r="M34" t="s">
        <v>257</v>
      </c>
    </row>
    <row r="35" spans="1:14" x14ac:dyDescent="0.25">
      <c r="A35" t="s">
        <v>43</v>
      </c>
      <c r="B35" t="s">
        <v>9</v>
      </c>
      <c r="C35" t="s">
        <v>14</v>
      </c>
      <c r="D35" t="s">
        <v>308</v>
      </c>
      <c r="E35" t="s">
        <v>11</v>
      </c>
      <c r="F35" s="34">
        <v>42425</v>
      </c>
      <c r="G35">
        <v>76918</v>
      </c>
      <c r="H35">
        <v>62</v>
      </c>
      <c r="I35" t="s">
        <v>39</v>
      </c>
      <c r="J35" t="s">
        <v>245</v>
      </c>
      <c r="K35">
        <v>76918</v>
      </c>
      <c r="L35">
        <v>10.39</v>
      </c>
      <c r="M35" t="s">
        <v>255</v>
      </c>
    </row>
    <row r="36" spans="1:14" x14ac:dyDescent="0.25">
      <c r="A36" t="s">
        <v>52</v>
      </c>
      <c r="B36" t="s">
        <v>9</v>
      </c>
      <c r="C36" t="s">
        <v>53</v>
      </c>
      <c r="D36" t="s">
        <v>309</v>
      </c>
      <c r="E36" t="s">
        <v>11</v>
      </c>
      <c r="F36" s="34">
        <v>42337</v>
      </c>
      <c r="G36">
        <v>105765</v>
      </c>
      <c r="H36">
        <v>42</v>
      </c>
      <c r="I36" t="s">
        <v>39</v>
      </c>
      <c r="J36" t="s">
        <v>245</v>
      </c>
      <c r="K36">
        <v>105765</v>
      </c>
      <c r="L36">
        <v>10.63</v>
      </c>
      <c r="M36" t="s">
        <v>254</v>
      </c>
    </row>
    <row r="37" spans="1:14" x14ac:dyDescent="0.25">
      <c r="A37" t="s">
        <v>59</v>
      </c>
      <c r="B37" t="s">
        <v>60</v>
      </c>
      <c r="C37" t="s">
        <v>17</v>
      </c>
      <c r="D37" t="s">
        <v>310</v>
      </c>
      <c r="E37" t="s">
        <v>11</v>
      </c>
      <c r="F37" s="34">
        <v>42575</v>
      </c>
      <c r="G37">
        <v>79893.409090909088</v>
      </c>
      <c r="H37">
        <v>75</v>
      </c>
      <c r="I37" t="s">
        <v>39</v>
      </c>
      <c r="J37" t="s">
        <v>245</v>
      </c>
      <c r="K37">
        <v>79893.409090909088</v>
      </c>
      <c r="L37">
        <v>9.98</v>
      </c>
      <c r="M37" t="s">
        <v>272</v>
      </c>
    </row>
    <row r="38" spans="1:14" x14ac:dyDescent="0.25">
      <c r="A38" t="s">
        <v>70</v>
      </c>
      <c r="B38" t="s">
        <v>24</v>
      </c>
      <c r="C38" t="s">
        <v>35</v>
      </c>
      <c r="D38" t="s">
        <v>288</v>
      </c>
      <c r="E38" t="s">
        <v>11</v>
      </c>
      <c r="F38" s="34">
        <v>44765</v>
      </c>
      <c r="G38" t="s">
        <v>71</v>
      </c>
      <c r="H38">
        <v>90</v>
      </c>
      <c r="I38" t="s">
        <v>39</v>
      </c>
      <c r="J38" t="s">
        <v>245</v>
      </c>
      <c r="K38" t="s">
        <v>71</v>
      </c>
      <c r="L38">
        <v>3.98</v>
      </c>
      <c r="M38" t="s">
        <v>257</v>
      </c>
    </row>
    <row r="39" spans="1:14" x14ac:dyDescent="0.25">
      <c r="A39" t="s">
        <v>75</v>
      </c>
      <c r="B39" t="s">
        <v>37</v>
      </c>
      <c r="C39" t="s">
        <v>28</v>
      </c>
      <c r="D39" t="s">
        <v>311</v>
      </c>
      <c r="E39" t="s">
        <v>11</v>
      </c>
      <c r="F39" s="34">
        <v>45195</v>
      </c>
      <c r="G39">
        <v>66069</v>
      </c>
      <c r="H39">
        <v>72</v>
      </c>
      <c r="I39" t="s">
        <v>39</v>
      </c>
      <c r="J39" t="s">
        <v>245</v>
      </c>
      <c r="K39">
        <v>66069</v>
      </c>
      <c r="L39">
        <v>2.8</v>
      </c>
      <c r="M39" t="s">
        <v>272</v>
      </c>
    </row>
    <row r="40" spans="1:14" x14ac:dyDescent="0.25">
      <c r="A40" t="s">
        <v>76</v>
      </c>
      <c r="B40" t="s">
        <v>77</v>
      </c>
      <c r="C40" t="s">
        <v>10</v>
      </c>
      <c r="D40" t="s">
        <v>312</v>
      </c>
      <c r="E40" t="s">
        <v>11</v>
      </c>
      <c r="F40" s="34">
        <v>43626</v>
      </c>
      <c r="G40">
        <v>90157</v>
      </c>
      <c r="H40">
        <v>58</v>
      </c>
      <c r="I40" t="s">
        <v>39</v>
      </c>
      <c r="J40" t="s">
        <v>245</v>
      </c>
      <c r="K40">
        <v>90157</v>
      </c>
      <c r="L40">
        <v>7.1</v>
      </c>
      <c r="M40" t="s">
        <v>255</v>
      </c>
    </row>
    <row r="41" spans="1:14" x14ac:dyDescent="0.25">
      <c r="A41" t="s">
        <v>81</v>
      </c>
      <c r="C41" t="s">
        <v>10</v>
      </c>
      <c r="D41" t="s">
        <v>313</v>
      </c>
      <c r="E41" t="s">
        <v>11</v>
      </c>
      <c r="F41" s="34">
        <v>42248</v>
      </c>
      <c r="G41">
        <v>102691</v>
      </c>
      <c r="H41">
        <v>52</v>
      </c>
      <c r="I41" t="s">
        <v>39</v>
      </c>
      <c r="J41" t="s">
        <v>245</v>
      </c>
      <c r="K41">
        <v>102691</v>
      </c>
      <c r="L41">
        <v>10.87</v>
      </c>
      <c r="M41" t="s">
        <v>255</v>
      </c>
    </row>
    <row r="42" spans="1:14" x14ac:dyDescent="0.25">
      <c r="A42" t="s">
        <v>234</v>
      </c>
      <c r="C42" t="s">
        <v>50</v>
      </c>
      <c r="D42" t="s">
        <v>314</v>
      </c>
      <c r="E42" t="s">
        <v>11</v>
      </c>
      <c r="F42" t="s">
        <v>235</v>
      </c>
      <c r="G42">
        <v>112887</v>
      </c>
      <c r="H42">
        <v>59</v>
      </c>
      <c r="I42" t="s">
        <v>39</v>
      </c>
      <c r="J42" t="s">
        <v>245</v>
      </c>
      <c r="K42">
        <v>112887</v>
      </c>
      <c r="L42">
        <v>7.51</v>
      </c>
      <c r="M42" t="s">
        <v>255</v>
      </c>
    </row>
    <row r="43" spans="1:14" x14ac:dyDescent="0.25">
      <c r="A43" t="s">
        <v>232</v>
      </c>
      <c r="B43" t="s">
        <v>20</v>
      </c>
      <c r="C43" t="s">
        <v>53</v>
      </c>
      <c r="D43" t="s">
        <v>315</v>
      </c>
      <c r="E43" t="s">
        <v>11</v>
      </c>
      <c r="F43" s="34">
        <v>43887</v>
      </c>
      <c r="G43">
        <v>79893.409090909088</v>
      </c>
      <c r="H43">
        <v>96</v>
      </c>
      <c r="I43" t="s">
        <v>39</v>
      </c>
      <c r="J43" t="s">
        <v>245</v>
      </c>
      <c r="K43">
        <v>79893.409090909088</v>
      </c>
      <c r="L43">
        <v>6.39</v>
      </c>
      <c r="M43" t="s">
        <v>258</v>
      </c>
    </row>
    <row r="44" spans="1:14" x14ac:dyDescent="0.25">
      <c r="A44" t="s">
        <v>221</v>
      </c>
      <c r="B44" t="s">
        <v>91</v>
      </c>
      <c r="C44" t="s">
        <v>53</v>
      </c>
      <c r="D44" t="s">
        <v>316</v>
      </c>
      <c r="E44" t="s">
        <v>11</v>
      </c>
      <c r="F44" s="34">
        <v>43360</v>
      </c>
      <c r="G44" t="s">
        <v>222</v>
      </c>
      <c r="H44">
        <v>68</v>
      </c>
      <c r="I44" t="s">
        <v>39</v>
      </c>
      <c r="J44" t="s">
        <v>245</v>
      </c>
      <c r="K44" t="s">
        <v>222</v>
      </c>
      <c r="L44">
        <v>7.83</v>
      </c>
      <c r="M44" t="s">
        <v>255</v>
      </c>
    </row>
    <row r="45" spans="1:14" x14ac:dyDescent="0.25">
      <c r="A45" t="s">
        <v>111</v>
      </c>
      <c r="B45" t="s">
        <v>45</v>
      </c>
      <c r="C45" t="s">
        <v>112</v>
      </c>
      <c r="D45" t="s">
        <v>317</v>
      </c>
      <c r="E45" t="s">
        <v>11</v>
      </c>
      <c r="F45" s="34">
        <v>45112</v>
      </c>
      <c r="G45">
        <v>79893.409090909088</v>
      </c>
      <c r="H45">
        <v>54</v>
      </c>
      <c r="I45" t="s">
        <v>39</v>
      </c>
      <c r="J45" t="s">
        <v>245</v>
      </c>
      <c r="K45">
        <v>79893.409090909088</v>
      </c>
      <c r="L45">
        <v>3.03</v>
      </c>
      <c r="M45" t="s">
        <v>255</v>
      </c>
    </row>
    <row r="46" spans="1:14" x14ac:dyDescent="0.25">
      <c r="A46" t="s">
        <v>120</v>
      </c>
      <c r="B46" t="s">
        <v>49</v>
      </c>
      <c r="C46" t="s">
        <v>41</v>
      </c>
      <c r="D46" t="s">
        <v>299</v>
      </c>
      <c r="E46" t="s">
        <v>11</v>
      </c>
      <c r="F46" s="34">
        <v>42122</v>
      </c>
      <c r="G46" t="s">
        <v>121</v>
      </c>
      <c r="H46">
        <v>64</v>
      </c>
      <c r="I46" t="s">
        <v>39</v>
      </c>
      <c r="J46" t="s">
        <v>245</v>
      </c>
      <c r="K46" t="s">
        <v>121</v>
      </c>
      <c r="L46">
        <v>11.21</v>
      </c>
      <c r="M46" t="s">
        <v>255</v>
      </c>
    </row>
    <row r="47" spans="1:14" x14ac:dyDescent="0.25">
      <c r="A47" t="s">
        <v>208</v>
      </c>
      <c r="B47" t="s">
        <v>133</v>
      </c>
      <c r="C47" t="s">
        <v>46</v>
      </c>
      <c r="D47" t="s">
        <v>318</v>
      </c>
      <c r="E47" t="s">
        <v>11</v>
      </c>
      <c r="F47" s="34">
        <v>43305</v>
      </c>
      <c r="G47">
        <v>62818</v>
      </c>
      <c r="H47">
        <v>34</v>
      </c>
      <c r="I47" t="s">
        <v>39</v>
      </c>
      <c r="J47" t="s">
        <v>245</v>
      </c>
      <c r="K47">
        <v>62818</v>
      </c>
      <c r="L47">
        <v>7.98</v>
      </c>
      <c r="M47" t="s">
        <v>254</v>
      </c>
    </row>
    <row r="48" spans="1:14" x14ac:dyDescent="0.25">
      <c r="A48" t="s">
        <v>139</v>
      </c>
      <c r="B48" t="s">
        <v>45</v>
      </c>
      <c r="C48" t="s">
        <v>35</v>
      </c>
      <c r="D48" t="s">
        <v>319</v>
      </c>
      <c r="E48" t="s">
        <v>11</v>
      </c>
      <c r="F48" t="s">
        <v>140</v>
      </c>
      <c r="G48" t="s">
        <v>141</v>
      </c>
      <c r="H48">
        <v>61</v>
      </c>
      <c r="I48" t="s">
        <v>39</v>
      </c>
      <c r="J48" t="s">
        <v>245</v>
      </c>
      <c r="K48" t="s">
        <v>141</v>
      </c>
      <c r="L48">
        <v>9.41</v>
      </c>
      <c r="M48" t="s">
        <v>255</v>
      </c>
    </row>
    <row r="49" spans="1:13" x14ac:dyDescent="0.25">
      <c r="A49" t="s">
        <v>152</v>
      </c>
      <c r="B49" t="s">
        <v>20</v>
      </c>
      <c r="C49" t="s">
        <v>28</v>
      </c>
      <c r="D49" t="s">
        <v>320</v>
      </c>
      <c r="E49" t="s">
        <v>11</v>
      </c>
      <c r="F49" t="s">
        <v>153</v>
      </c>
      <c r="G49">
        <v>52287</v>
      </c>
      <c r="H49">
        <v>70</v>
      </c>
      <c r="I49" t="s">
        <v>39</v>
      </c>
      <c r="J49" t="s">
        <v>245</v>
      </c>
      <c r="K49">
        <v>52287</v>
      </c>
      <c r="L49">
        <v>2.78</v>
      </c>
      <c r="M49" t="s">
        <v>272</v>
      </c>
    </row>
    <row r="50" spans="1:13" x14ac:dyDescent="0.25">
      <c r="A50" t="s">
        <v>154</v>
      </c>
      <c r="B50" t="s">
        <v>13</v>
      </c>
      <c r="C50" t="s">
        <v>17</v>
      </c>
      <c r="D50" t="s">
        <v>321</v>
      </c>
      <c r="E50" t="s">
        <v>11</v>
      </c>
      <c r="F50" s="34">
        <v>44073</v>
      </c>
      <c r="G50">
        <v>82633</v>
      </c>
      <c r="H50">
        <v>98</v>
      </c>
      <c r="I50" t="s">
        <v>39</v>
      </c>
      <c r="J50" t="s">
        <v>245</v>
      </c>
      <c r="K50">
        <v>82633</v>
      </c>
      <c r="L50">
        <v>5.88</v>
      </c>
      <c r="M50" t="s">
        <v>258</v>
      </c>
    </row>
    <row r="51" spans="1:13" x14ac:dyDescent="0.25">
      <c r="A51" t="s">
        <v>157</v>
      </c>
      <c r="B51" t="s">
        <v>45</v>
      </c>
      <c r="C51" t="s">
        <v>53</v>
      </c>
      <c r="D51" t="s">
        <v>290</v>
      </c>
      <c r="E51" t="s">
        <v>11</v>
      </c>
      <c r="F51" s="34">
        <v>42880</v>
      </c>
      <c r="G51" t="s">
        <v>158</v>
      </c>
      <c r="H51">
        <v>48</v>
      </c>
      <c r="I51" t="s">
        <v>39</v>
      </c>
      <c r="J51" t="s">
        <v>245</v>
      </c>
      <c r="K51" t="s">
        <v>158</v>
      </c>
      <c r="L51">
        <v>9.14</v>
      </c>
      <c r="M51" t="s">
        <v>254</v>
      </c>
    </row>
    <row r="52" spans="1:13" x14ac:dyDescent="0.25">
      <c r="A52" t="s">
        <v>162</v>
      </c>
      <c r="B52" t="s">
        <v>84</v>
      </c>
      <c r="C52" t="s">
        <v>28</v>
      </c>
      <c r="D52" t="s">
        <v>289</v>
      </c>
      <c r="E52" t="s">
        <v>11</v>
      </c>
      <c r="F52" s="34">
        <v>43270</v>
      </c>
      <c r="G52" t="s">
        <v>163</v>
      </c>
      <c r="H52">
        <v>66</v>
      </c>
      <c r="I52" t="s">
        <v>39</v>
      </c>
      <c r="J52" t="s">
        <v>245</v>
      </c>
      <c r="K52" t="s">
        <v>163</v>
      </c>
      <c r="L52">
        <v>8.07</v>
      </c>
      <c r="M52" t="s">
        <v>255</v>
      </c>
    </row>
    <row r="53" spans="1:13" x14ac:dyDescent="0.25">
      <c r="A53" t="s">
        <v>168</v>
      </c>
      <c r="B53" t="s">
        <v>20</v>
      </c>
      <c r="C53" t="s">
        <v>28</v>
      </c>
      <c r="D53" t="s">
        <v>320</v>
      </c>
      <c r="E53" t="s">
        <v>11</v>
      </c>
      <c r="F53" s="34">
        <v>44482</v>
      </c>
      <c r="G53">
        <v>73087</v>
      </c>
      <c r="H53">
        <v>69</v>
      </c>
      <c r="I53" t="s">
        <v>39</v>
      </c>
      <c r="J53" t="s">
        <v>245</v>
      </c>
      <c r="K53">
        <v>73087</v>
      </c>
      <c r="L53">
        <v>4.76</v>
      </c>
      <c r="M53" t="s">
        <v>255</v>
      </c>
    </row>
    <row r="54" spans="1:13" x14ac:dyDescent="0.25">
      <c r="A54" t="s">
        <v>170</v>
      </c>
      <c r="B54" t="s">
        <v>20</v>
      </c>
      <c r="C54" t="s">
        <v>50</v>
      </c>
      <c r="D54" t="s">
        <v>322</v>
      </c>
      <c r="E54" t="s">
        <v>11</v>
      </c>
      <c r="F54" t="s">
        <v>171</v>
      </c>
      <c r="G54">
        <v>79893.409090909088</v>
      </c>
      <c r="H54">
        <v>33</v>
      </c>
      <c r="I54" t="s">
        <v>39</v>
      </c>
      <c r="J54" t="s">
        <v>245</v>
      </c>
      <c r="K54">
        <v>79893.409090909088</v>
      </c>
      <c r="L54">
        <v>7.35</v>
      </c>
      <c r="M54" t="s">
        <v>254</v>
      </c>
    </row>
    <row r="55" spans="1:13" x14ac:dyDescent="0.25">
      <c r="A55" t="s">
        <v>174</v>
      </c>
      <c r="B55" t="s">
        <v>133</v>
      </c>
      <c r="C55" t="s">
        <v>53</v>
      </c>
      <c r="D55" t="s">
        <v>323</v>
      </c>
      <c r="E55" t="s">
        <v>11</v>
      </c>
      <c r="F55" s="34">
        <v>45055</v>
      </c>
      <c r="G55" t="s">
        <v>175</v>
      </c>
      <c r="H55">
        <v>51</v>
      </c>
      <c r="I55" t="s">
        <v>39</v>
      </c>
      <c r="J55" t="s">
        <v>245</v>
      </c>
      <c r="K55" t="s">
        <v>175</v>
      </c>
      <c r="L55">
        <v>3.18</v>
      </c>
      <c r="M55" t="s">
        <v>255</v>
      </c>
    </row>
    <row r="56" spans="1:13" x14ac:dyDescent="0.25">
      <c r="A56" t="s">
        <v>177</v>
      </c>
      <c r="B56" t="s">
        <v>55</v>
      </c>
      <c r="C56" t="s">
        <v>17</v>
      </c>
      <c r="D56" t="s">
        <v>324</v>
      </c>
      <c r="E56" t="s">
        <v>11</v>
      </c>
      <c r="F56" s="34">
        <v>43879</v>
      </c>
      <c r="G56">
        <v>53786</v>
      </c>
      <c r="H56">
        <v>98</v>
      </c>
      <c r="I56" t="s">
        <v>39</v>
      </c>
      <c r="J56" t="s">
        <v>245</v>
      </c>
      <c r="K56">
        <v>53786</v>
      </c>
      <c r="L56">
        <v>6.41</v>
      </c>
      <c r="M56" t="s">
        <v>258</v>
      </c>
    </row>
    <row r="57" spans="1:13" x14ac:dyDescent="0.25">
      <c r="A57" t="s">
        <v>181</v>
      </c>
      <c r="B57" t="s">
        <v>55</v>
      </c>
      <c r="C57" t="s">
        <v>50</v>
      </c>
      <c r="D57" t="s">
        <v>325</v>
      </c>
      <c r="E57" t="s">
        <v>11</v>
      </c>
      <c r="F57" s="34">
        <v>44394</v>
      </c>
      <c r="G57">
        <v>91672</v>
      </c>
      <c r="H57">
        <v>88</v>
      </c>
      <c r="I57" t="s">
        <v>39</v>
      </c>
      <c r="J57" t="s">
        <v>245</v>
      </c>
      <c r="K57">
        <v>91672</v>
      </c>
      <c r="L57">
        <v>4.99</v>
      </c>
      <c r="M57" t="s">
        <v>257</v>
      </c>
    </row>
    <row r="58" spans="1:13" x14ac:dyDescent="0.25">
      <c r="A58" t="s">
        <v>191</v>
      </c>
      <c r="B58" t="s">
        <v>49</v>
      </c>
      <c r="C58" t="s">
        <v>21</v>
      </c>
      <c r="D58" t="s">
        <v>326</v>
      </c>
      <c r="E58" t="s">
        <v>11</v>
      </c>
      <c r="F58" s="34">
        <v>44747</v>
      </c>
      <c r="G58">
        <v>118008</v>
      </c>
      <c r="H58">
        <v>71</v>
      </c>
      <c r="I58" t="s">
        <v>39</v>
      </c>
      <c r="J58" t="s">
        <v>245</v>
      </c>
      <c r="K58">
        <v>118008</v>
      </c>
      <c r="L58">
        <v>4.03</v>
      </c>
      <c r="M58" t="s">
        <v>272</v>
      </c>
    </row>
    <row r="59" spans="1:13" x14ac:dyDescent="0.25">
      <c r="A59" t="s">
        <v>192</v>
      </c>
      <c r="B59" t="s">
        <v>24</v>
      </c>
      <c r="C59" t="s">
        <v>41</v>
      </c>
      <c r="D59" t="s">
        <v>327</v>
      </c>
      <c r="E59" t="s">
        <v>11</v>
      </c>
      <c r="F59" t="s">
        <v>193</v>
      </c>
      <c r="G59">
        <v>74370</v>
      </c>
      <c r="H59">
        <v>82</v>
      </c>
      <c r="I59" t="s">
        <v>39</v>
      </c>
      <c r="J59" t="s">
        <v>245</v>
      </c>
      <c r="K59">
        <v>74370</v>
      </c>
      <c r="L59">
        <v>10.01</v>
      </c>
      <c r="M59" t="s">
        <v>272</v>
      </c>
    </row>
    <row r="60" spans="1:13" x14ac:dyDescent="0.25">
      <c r="A60" t="s">
        <v>194</v>
      </c>
      <c r="B60" t="s">
        <v>91</v>
      </c>
      <c r="C60" t="s">
        <v>35</v>
      </c>
      <c r="D60" t="s">
        <v>328</v>
      </c>
      <c r="E60" t="s">
        <v>11</v>
      </c>
      <c r="F60" s="34">
        <v>44674</v>
      </c>
      <c r="G60">
        <v>77819</v>
      </c>
      <c r="H60">
        <v>79</v>
      </c>
      <c r="I60" t="s">
        <v>39</v>
      </c>
      <c r="J60" t="s">
        <v>245</v>
      </c>
      <c r="K60">
        <v>77819</v>
      </c>
      <c r="L60">
        <v>4.2300000000000004</v>
      </c>
      <c r="M60" t="s">
        <v>272</v>
      </c>
    </row>
    <row r="61" spans="1:13" x14ac:dyDescent="0.25">
      <c r="A61" t="s">
        <v>12</v>
      </c>
      <c r="B61" t="s">
        <v>13</v>
      </c>
      <c r="C61" t="s">
        <v>14</v>
      </c>
      <c r="D61" t="s">
        <v>329</v>
      </c>
      <c r="E61" t="s">
        <v>15</v>
      </c>
      <c r="F61" s="34">
        <v>44659</v>
      </c>
      <c r="G61">
        <v>112673</v>
      </c>
      <c r="H61">
        <v>65</v>
      </c>
      <c r="I61" t="s">
        <v>39</v>
      </c>
      <c r="J61" t="s">
        <v>247</v>
      </c>
      <c r="K61">
        <v>112673</v>
      </c>
      <c r="L61">
        <v>4.2699999999999996</v>
      </c>
      <c r="M61" t="s">
        <v>255</v>
      </c>
    </row>
    <row r="62" spans="1:13" x14ac:dyDescent="0.25">
      <c r="A62" t="s">
        <v>239</v>
      </c>
      <c r="B62" t="s">
        <v>55</v>
      </c>
      <c r="C62" t="s">
        <v>35</v>
      </c>
      <c r="D62" t="s">
        <v>330</v>
      </c>
      <c r="E62" t="s">
        <v>15</v>
      </c>
      <c r="F62" s="34">
        <v>42677</v>
      </c>
      <c r="G62">
        <v>93094</v>
      </c>
      <c r="H62">
        <v>74</v>
      </c>
      <c r="I62" t="s">
        <v>39</v>
      </c>
      <c r="J62" t="s">
        <v>247</v>
      </c>
      <c r="K62">
        <v>93094</v>
      </c>
      <c r="L62">
        <v>9.6999999999999993</v>
      </c>
      <c r="M62" t="s">
        <v>272</v>
      </c>
    </row>
    <row r="63" spans="1:13" x14ac:dyDescent="0.25">
      <c r="A63" t="s">
        <v>44</v>
      </c>
      <c r="B63" t="s">
        <v>45</v>
      </c>
      <c r="C63" t="s">
        <v>46</v>
      </c>
      <c r="D63" t="s">
        <v>331</v>
      </c>
      <c r="E63" t="s">
        <v>15</v>
      </c>
      <c r="F63" s="34">
        <v>44364</v>
      </c>
      <c r="G63">
        <v>61408</v>
      </c>
      <c r="H63">
        <v>48</v>
      </c>
      <c r="I63" t="s">
        <v>39</v>
      </c>
      <c r="J63" t="s">
        <v>247</v>
      </c>
      <c r="K63">
        <v>61408</v>
      </c>
      <c r="L63">
        <v>5.08</v>
      </c>
      <c r="M63" t="s">
        <v>254</v>
      </c>
    </row>
    <row r="64" spans="1:13" x14ac:dyDescent="0.25">
      <c r="A64" t="s">
        <v>47</v>
      </c>
      <c r="B64" t="s">
        <v>45</v>
      </c>
      <c r="C64" t="s">
        <v>41</v>
      </c>
      <c r="D64" t="s">
        <v>332</v>
      </c>
      <c r="E64" t="s">
        <v>15</v>
      </c>
      <c r="F64" s="34">
        <v>44001</v>
      </c>
      <c r="G64">
        <v>99990</v>
      </c>
      <c r="H64">
        <v>54</v>
      </c>
      <c r="I64" t="s">
        <v>39</v>
      </c>
      <c r="J64" t="s">
        <v>247</v>
      </c>
      <c r="K64">
        <v>99990</v>
      </c>
      <c r="L64">
        <v>6.07</v>
      </c>
      <c r="M64" t="s">
        <v>255</v>
      </c>
    </row>
    <row r="65" spans="1:13" x14ac:dyDescent="0.25">
      <c r="A65" t="s">
        <v>48</v>
      </c>
      <c r="B65" t="s">
        <v>49</v>
      </c>
      <c r="C65" t="s">
        <v>50</v>
      </c>
      <c r="D65" t="s">
        <v>333</v>
      </c>
      <c r="E65" t="s">
        <v>15</v>
      </c>
      <c r="F65" s="34">
        <v>43820</v>
      </c>
      <c r="G65">
        <v>80385</v>
      </c>
      <c r="H65">
        <v>65</v>
      </c>
      <c r="I65" t="s">
        <v>39</v>
      </c>
      <c r="J65" t="s">
        <v>247</v>
      </c>
      <c r="K65">
        <v>80385</v>
      </c>
      <c r="L65">
        <v>6.57</v>
      </c>
      <c r="M65" t="s">
        <v>255</v>
      </c>
    </row>
    <row r="66" spans="1:13" x14ac:dyDescent="0.25">
      <c r="A66" t="s">
        <v>56</v>
      </c>
      <c r="B66" t="s">
        <v>57</v>
      </c>
      <c r="C66" t="s">
        <v>58</v>
      </c>
      <c r="D66" t="s">
        <v>334</v>
      </c>
      <c r="E66" t="s">
        <v>15</v>
      </c>
      <c r="F66" s="34">
        <v>43235</v>
      </c>
      <c r="G66">
        <v>73984</v>
      </c>
      <c r="H66">
        <v>93</v>
      </c>
      <c r="I66" t="s">
        <v>39</v>
      </c>
      <c r="J66" t="s">
        <v>247</v>
      </c>
      <c r="K66">
        <v>73984</v>
      </c>
      <c r="L66">
        <v>8.17</v>
      </c>
      <c r="M66" t="s">
        <v>257</v>
      </c>
    </row>
    <row r="67" spans="1:13" x14ac:dyDescent="0.25">
      <c r="A67" t="s">
        <v>62</v>
      </c>
      <c r="B67" t="s">
        <v>13</v>
      </c>
      <c r="C67" t="s">
        <v>14</v>
      </c>
      <c r="D67" t="s">
        <v>329</v>
      </c>
      <c r="E67" t="s">
        <v>15</v>
      </c>
      <c r="F67" s="34">
        <v>44353</v>
      </c>
      <c r="G67">
        <v>107871</v>
      </c>
      <c r="H67">
        <v>88</v>
      </c>
      <c r="I67" t="s">
        <v>39</v>
      </c>
      <c r="J67" t="s">
        <v>247</v>
      </c>
      <c r="K67">
        <v>107871</v>
      </c>
      <c r="L67">
        <v>5.1100000000000003</v>
      </c>
      <c r="M67" t="s">
        <v>257</v>
      </c>
    </row>
    <row r="68" spans="1:13" x14ac:dyDescent="0.25">
      <c r="A68" t="s">
        <v>102</v>
      </c>
      <c r="B68" t="s">
        <v>55</v>
      </c>
      <c r="C68" t="s">
        <v>28</v>
      </c>
      <c r="D68" t="s">
        <v>301</v>
      </c>
      <c r="E68" t="s">
        <v>15</v>
      </c>
      <c r="F68" s="34">
        <v>43981</v>
      </c>
      <c r="G68" t="s">
        <v>103</v>
      </c>
      <c r="H68">
        <v>65</v>
      </c>
      <c r="I68" t="s">
        <v>39</v>
      </c>
      <c r="J68" t="s">
        <v>247</v>
      </c>
      <c r="K68" t="s">
        <v>103</v>
      </c>
      <c r="L68">
        <v>6.13</v>
      </c>
      <c r="M68" t="s">
        <v>255</v>
      </c>
    </row>
    <row r="69" spans="1:13" x14ac:dyDescent="0.25">
      <c r="A69" t="s">
        <v>219</v>
      </c>
      <c r="B69" t="s">
        <v>45</v>
      </c>
      <c r="C69" t="s">
        <v>110</v>
      </c>
      <c r="D69" t="s">
        <v>335</v>
      </c>
      <c r="E69" t="s">
        <v>15</v>
      </c>
      <c r="F69" t="s">
        <v>220</v>
      </c>
      <c r="G69">
        <v>83007</v>
      </c>
      <c r="H69">
        <v>82</v>
      </c>
      <c r="I69" t="s">
        <v>39</v>
      </c>
      <c r="J69" t="s">
        <v>247</v>
      </c>
      <c r="K69">
        <v>83007</v>
      </c>
      <c r="L69">
        <v>4.88</v>
      </c>
      <c r="M69" t="s">
        <v>272</v>
      </c>
    </row>
    <row r="70" spans="1:13" x14ac:dyDescent="0.25">
      <c r="A70" t="s">
        <v>124</v>
      </c>
      <c r="B70" t="s">
        <v>24</v>
      </c>
      <c r="C70" t="s">
        <v>50</v>
      </c>
      <c r="D70" t="s">
        <v>336</v>
      </c>
      <c r="E70" t="s">
        <v>15</v>
      </c>
      <c r="F70" t="s">
        <v>125</v>
      </c>
      <c r="G70" t="s">
        <v>126</v>
      </c>
      <c r="H70">
        <v>99</v>
      </c>
      <c r="I70" t="s">
        <v>39</v>
      </c>
      <c r="J70" t="s">
        <v>247</v>
      </c>
      <c r="K70" t="s">
        <v>126</v>
      </c>
      <c r="L70">
        <v>9.68</v>
      </c>
      <c r="M70" t="s">
        <v>258</v>
      </c>
    </row>
    <row r="71" spans="1:13" x14ac:dyDescent="0.25">
      <c r="A71" t="s">
        <v>207</v>
      </c>
      <c r="B71" t="s">
        <v>133</v>
      </c>
      <c r="C71" t="s">
        <v>50</v>
      </c>
      <c r="D71" t="s">
        <v>337</v>
      </c>
      <c r="E71" t="s">
        <v>15</v>
      </c>
      <c r="F71" s="34">
        <v>43183</v>
      </c>
      <c r="G71">
        <v>107903</v>
      </c>
      <c r="H71">
        <v>42</v>
      </c>
      <c r="I71" t="s">
        <v>39</v>
      </c>
      <c r="J71" t="s">
        <v>247</v>
      </c>
      <c r="K71">
        <v>107903</v>
      </c>
      <c r="L71">
        <v>8.31</v>
      </c>
      <c r="M71" t="s">
        <v>254</v>
      </c>
    </row>
    <row r="72" spans="1:13" x14ac:dyDescent="0.25">
      <c r="A72" t="s">
        <v>206</v>
      </c>
      <c r="B72" t="s">
        <v>37</v>
      </c>
      <c r="C72" t="s">
        <v>31</v>
      </c>
      <c r="D72" t="s">
        <v>285</v>
      </c>
      <c r="E72" t="s">
        <v>15</v>
      </c>
      <c r="F72" s="34">
        <v>44653</v>
      </c>
      <c r="G72">
        <v>88155</v>
      </c>
      <c r="H72">
        <v>68</v>
      </c>
      <c r="I72" t="s">
        <v>39</v>
      </c>
      <c r="J72" t="s">
        <v>247</v>
      </c>
      <c r="K72">
        <v>88155</v>
      </c>
      <c r="L72">
        <v>4.29</v>
      </c>
      <c r="M72" t="s">
        <v>255</v>
      </c>
    </row>
    <row r="73" spans="1:13" x14ac:dyDescent="0.25">
      <c r="A73" t="s">
        <v>144</v>
      </c>
      <c r="B73" t="s">
        <v>77</v>
      </c>
      <c r="C73" t="s">
        <v>41</v>
      </c>
      <c r="D73" t="s">
        <v>338</v>
      </c>
      <c r="E73" t="s">
        <v>15</v>
      </c>
      <c r="F73" s="34">
        <v>43599</v>
      </c>
      <c r="G73">
        <v>86693.133333333331</v>
      </c>
      <c r="H73">
        <v>94</v>
      </c>
      <c r="I73" t="s">
        <v>39</v>
      </c>
      <c r="J73" t="s">
        <v>247</v>
      </c>
      <c r="K73">
        <v>86693.133333333331</v>
      </c>
      <c r="L73">
        <v>7.17</v>
      </c>
      <c r="M73" t="s">
        <v>257</v>
      </c>
    </row>
    <row r="74" spans="1:13" x14ac:dyDescent="0.25">
      <c r="A74" t="s">
        <v>173</v>
      </c>
      <c r="B74" t="s">
        <v>84</v>
      </c>
      <c r="C74" t="s">
        <v>17</v>
      </c>
      <c r="D74" t="s">
        <v>339</v>
      </c>
      <c r="E74" t="s">
        <v>15</v>
      </c>
      <c r="F74" s="34">
        <v>42785</v>
      </c>
      <c r="G74">
        <v>82992</v>
      </c>
      <c r="H74">
        <v>79</v>
      </c>
      <c r="I74" t="s">
        <v>39</v>
      </c>
      <c r="J74" t="s">
        <v>247</v>
      </c>
      <c r="K74">
        <v>82992</v>
      </c>
      <c r="L74">
        <v>9.41</v>
      </c>
      <c r="M74" t="s">
        <v>272</v>
      </c>
    </row>
    <row r="75" spans="1:13" x14ac:dyDescent="0.25">
      <c r="A75" t="s">
        <v>189</v>
      </c>
      <c r="B75" t="s">
        <v>60</v>
      </c>
      <c r="C75" t="s">
        <v>10</v>
      </c>
      <c r="D75" t="s">
        <v>307</v>
      </c>
      <c r="E75" t="s">
        <v>15</v>
      </c>
      <c r="F75" s="34">
        <v>43996</v>
      </c>
      <c r="G75" t="s">
        <v>190</v>
      </c>
      <c r="H75">
        <v>87</v>
      </c>
      <c r="I75" t="s">
        <v>39</v>
      </c>
      <c r="J75" t="s">
        <v>247</v>
      </c>
      <c r="K75" t="s">
        <v>190</v>
      </c>
      <c r="L75">
        <v>6.09</v>
      </c>
      <c r="M75" t="s">
        <v>257</v>
      </c>
    </row>
    <row r="76" spans="1:13" x14ac:dyDescent="0.25">
      <c r="A76" t="s">
        <v>195</v>
      </c>
      <c r="B76" t="s">
        <v>45</v>
      </c>
      <c r="C76" t="s">
        <v>41</v>
      </c>
      <c r="D76" t="s">
        <v>332</v>
      </c>
      <c r="E76" t="s">
        <v>15</v>
      </c>
      <c r="F76" t="s">
        <v>196</v>
      </c>
      <c r="G76">
        <v>48748</v>
      </c>
      <c r="H76">
        <v>83</v>
      </c>
      <c r="I76" t="s">
        <v>39</v>
      </c>
      <c r="J76" t="s">
        <v>247</v>
      </c>
      <c r="K76">
        <v>48748</v>
      </c>
      <c r="L76">
        <v>9.18</v>
      </c>
      <c r="M76" t="s">
        <v>272</v>
      </c>
    </row>
    <row r="77" spans="1:13" x14ac:dyDescent="0.25">
      <c r="A77" t="s">
        <v>27</v>
      </c>
      <c r="B77" t="s">
        <v>9</v>
      </c>
      <c r="C77" t="s">
        <v>28</v>
      </c>
      <c r="D77" t="s">
        <v>340</v>
      </c>
      <c r="E77" t="s">
        <v>29</v>
      </c>
      <c r="F77" s="34">
        <v>43892</v>
      </c>
      <c r="G77">
        <v>115882</v>
      </c>
      <c r="H77">
        <v>49</v>
      </c>
      <c r="I77" t="s">
        <v>39</v>
      </c>
      <c r="J77" t="s">
        <v>249</v>
      </c>
      <c r="K77">
        <v>115882</v>
      </c>
      <c r="L77">
        <v>6.37</v>
      </c>
      <c r="M77" t="s">
        <v>254</v>
      </c>
    </row>
    <row r="78" spans="1:13" x14ac:dyDescent="0.25">
      <c r="A78" t="s">
        <v>32</v>
      </c>
      <c r="B78" t="s">
        <v>33</v>
      </c>
      <c r="C78" t="s">
        <v>25</v>
      </c>
      <c r="D78" t="s">
        <v>341</v>
      </c>
      <c r="E78" t="s">
        <v>29</v>
      </c>
      <c r="F78" s="34">
        <v>44174</v>
      </c>
      <c r="G78">
        <v>68728</v>
      </c>
      <c r="H78">
        <v>45</v>
      </c>
      <c r="I78" t="s">
        <v>39</v>
      </c>
      <c r="J78" t="s">
        <v>249</v>
      </c>
      <c r="K78">
        <v>68728</v>
      </c>
      <c r="L78">
        <v>5.6</v>
      </c>
      <c r="M78" t="s">
        <v>254</v>
      </c>
    </row>
    <row r="79" spans="1:13" x14ac:dyDescent="0.25">
      <c r="A79" t="s">
        <v>74</v>
      </c>
      <c r="B79" t="s">
        <v>24</v>
      </c>
      <c r="C79" t="s">
        <v>14</v>
      </c>
      <c r="D79" t="s">
        <v>342</v>
      </c>
      <c r="E79" t="s">
        <v>29</v>
      </c>
      <c r="F79" s="34">
        <v>42221</v>
      </c>
      <c r="G79">
        <v>97055</v>
      </c>
      <c r="H79">
        <v>80</v>
      </c>
      <c r="I79" t="s">
        <v>39</v>
      </c>
      <c r="J79" t="s">
        <v>249</v>
      </c>
      <c r="K79">
        <v>97055</v>
      </c>
      <c r="L79">
        <v>10.94</v>
      </c>
      <c r="M79" t="s">
        <v>272</v>
      </c>
    </row>
    <row r="80" spans="1:13" x14ac:dyDescent="0.25">
      <c r="A80" t="s">
        <v>82</v>
      </c>
      <c r="B80" t="s">
        <v>20</v>
      </c>
      <c r="C80" t="s">
        <v>31</v>
      </c>
      <c r="D80" t="s">
        <v>343</v>
      </c>
      <c r="E80" t="s">
        <v>29</v>
      </c>
      <c r="F80" s="34">
        <v>44776</v>
      </c>
      <c r="G80">
        <v>111845</v>
      </c>
      <c r="H80">
        <v>98</v>
      </c>
      <c r="I80" t="s">
        <v>39</v>
      </c>
      <c r="J80" t="s">
        <v>249</v>
      </c>
      <c r="K80">
        <v>111845</v>
      </c>
      <c r="L80">
        <v>3.95</v>
      </c>
      <c r="M80" t="s">
        <v>258</v>
      </c>
    </row>
    <row r="81" spans="1:13" x14ac:dyDescent="0.25">
      <c r="A81" t="s">
        <v>87</v>
      </c>
      <c r="B81" t="s">
        <v>77</v>
      </c>
      <c r="C81" t="s">
        <v>41</v>
      </c>
      <c r="D81" t="s">
        <v>338</v>
      </c>
      <c r="E81" t="s">
        <v>29</v>
      </c>
      <c r="F81" t="s">
        <v>88</v>
      </c>
      <c r="G81">
        <v>57514</v>
      </c>
      <c r="H81">
        <v>65</v>
      </c>
      <c r="I81" t="s">
        <v>39</v>
      </c>
      <c r="J81" t="s">
        <v>249</v>
      </c>
      <c r="K81">
        <v>57514</v>
      </c>
      <c r="L81">
        <v>8.85</v>
      </c>
      <c r="M81" t="s">
        <v>255</v>
      </c>
    </row>
    <row r="82" spans="1:13" x14ac:dyDescent="0.25">
      <c r="A82" t="s">
        <v>228</v>
      </c>
      <c r="B82" t="s">
        <v>77</v>
      </c>
      <c r="C82" t="s">
        <v>17</v>
      </c>
      <c r="D82" t="s">
        <v>344</v>
      </c>
      <c r="E82" t="s">
        <v>29</v>
      </c>
      <c r="F82" s="34">
        <v>42932</v>
      </c>
      <c r="G82">
        <v>65065</v>
      </c>
      <c r="H82">
        <v>98</v>
      </c>
      <c r="I82" t="s">
        <v>39</v>
      </c>
      <c r="J82" t="s">
        <v>249</v>
      </c>
      <c r="K82">
        <v>65065</v>
      </c>
      <c r="L82">
        <v>9</v>
      </c>
      <c r="M82" t="s">
        <v>258</v>
      </c>
    </row>
    <row r="83" spans="1:13" x14ac:dyDescent="0.25">
      <c r="A83" t="s">
        <v>227</v>
      </c>
      <c r="B83" t="s">
        <v>20</v>
      </c>
      <c r="C83" t="s">
        <v>14</v>
      </c>
      <c r="D83" t="s">
        <v>345</v>
      </c>
      <c r="E83" t="s">
        <v>29</v>
      </c>
      <c r="F83" s="34">
        <v>43257</v>
      </c>
      <c r="G83">
        <v>52720</v>
      </c>
      <c r="H83">
        <v>68</v>
      </c>
      <c r="I83" t="s">
        <v>39</v>
      </c>
      <c r="J83" t="s">
        <v>249</v>
      </c>
      <c r="K83">
        <v>52720</v>
      </c>
      <c r="L83">
        <v>8.11</v>
      </c>
      <c r="M83" t="s">
        <v>255</v>
      </c>
    </row>
    <row r="84" spans="1:13" x14ac:dyDescent="0.25">
      <c r="A84" t="s">
        <v>98</v>
      </c>
      <c r="B84" t="s">
        <v>24</v>
      </c>
      <c r="C84" t="s">
        <v>58</v>
      </c>
      <c r="D84" t="s">
        <v>346</v>
      </c>
      <c r="E84" t="s">
        <v>29</v>
      </c>
      <c r="F84" s="34">
        <v>42647</v>
      </c>
      <c r="G84">
        <v>105498</v>
      </c>
      <c r="H84">
        <v>76</v>
      </c>
      <c r="I84" t="s">
        <v>39</v>
      </c>
      <c r="J84" t="s">
        <v>249</v>
      </c>
      <c r="K84">
        <v>105498</v>
      </c>
      <c r="L84">
        <v>9.7799999999999994</v>
      </c>
      <c r="M84" t="s">
        <v>272</v>
      </c>
    </row>
    <row r="85" spans="1:13" x14ac:dyDescent="0.25">
      <c r="A85" t="s">
        <v>113</v>
      </c>
      <c r="B85" t="s">
        <v>24</v>
      </c>
      <c r="C85" t="s">
        <v>110</v>
      </c>
      <c r="D85" t="s">
        <v>347</v>
      </c>
      <c r="E85" t="s">
        <v>29</v>
      </c>
      <c r="F85" s="34">
        <v>44148</v>
      </c>
      <c r="G85">
        <v>77933.083333333328</v>
      </c>
      <c r="H85">
        <v>75</v>
      </c>
      <c r="I85" t="s">
        <v>39</v>
      </c>
      <c r="J85" t="s">
        <v>249</v>
      </c>
      <c r="K85">
        <v>77933.083333333328</v>
      </c>
      <c r="L85">
        <v>5.67</v>
      </c>
      <c r="M85" t="s">
        <v>272</v>
      </c>
    </row>
    <row r="86" spans="1:13" x14ac:dyDescent="0.25">
      <c r="A86" t="s">
        <v>119</v>
      </c>
      <c r="B86" t="s">
        <v>49</v>
      </c>
      <c r="C86" t="s">
        <v>28</v>
      </c>
      <c r="D86" t="s">
        <v>348</v>
      </c>
      <c r="E86" t="s">
        <v>29</v>
      </c>
      <c r="F86" s="34">
        <v>42800</v>
      </c>
      <c r="G86">
        <v>63302</v>
      </c>
      <c r="H86">
        <v>91</v>
      </c>
      <c r="I86" t="s">
        <v>39</v>
      </c>
      <c r="J86" t="s">
        <v>249</v>
      </c>
      <c r="K86">
        <v>63302</v>
      </c>
      <c r="L86">
        <v>9.36</v>
      </c>
      <c r="M86" t="s">
        <v>257</v>
      </c>
    </row>
    <row r="87" spans="1:13" x14ac:dyDescent="0.25">
      <c r="A87" t="s">
        <v>137</v>
      </c>
      <c r="B87" t="s">
        <v>91</v>
      </c>
      <c r="C87" t="s">
        <v>31</v>
      </c>
      <c r="D87" t="s">
        <v>349</v>
      </c>
      <c r="E87" t="s">
        <v>29</v>
      </c>
      <c r="F87" s="34">
        <v>42654</v>
      </c>
      <c r="G87">
        <v>48823</v>
      </c>
      <c r="H87">
        <v>34</v>
      </c>
      <c r="I87" t="s">
        <v>39</v>
      </c>
      <c r="J87" t="s">
        <v>249</v>
      </c>
      <c r="K87">
        <v>48823</v>
      </c>
      <c r="L87">
        <v>9.76</v>
      </c>
      <c r="M87" t="s">
        <v>254</v>
      </c>
    </row>
    <row r="88" spans="1:13" x14ac:dyDescent="0.25">
      <c r="A88" t="s">
        <v>145</v>
      </c>
      <c r="B88" t="s">
        <v>33</v>
      </c>
      <c r="C88" t="s">
        <v>110</v>
      </c>
      <c r="D88" t="s">
        <v>350</v>
      </c>
      <c r="E88" t="s">
        <v>29</v>
      </c>
      <c r="F88" s="34">
        <v>42330</v>
      </c>
      <c r="G88">
        <v>86480</v>
      </c>
      <c r="H88">
        <v>65</v>
      </c>
      <c r="I88" t="s">
        <v>39</v>
      </c>
      <c r="J88" t="s">
        <v>249</v>
      </c>
      <c r="K88">
        <v>86480</v>
      </c>
      <c r="L88">
        <v>10.65</v>
      </c>
      <c r="M88" t="s">
        <v>255</v>
      </c>
    </row>
    <row r="89" spans="1:13" x14ac:dyDescent="0.25">
      <c r="A89" t="s">
        <v>155</v>
      </c>
      <c r="B89" t="s">
        <v>84</v>
      </c>
      <c r="C89" t="s">
        <v>112</v>
      </c>
      <c r="D89" t="s">
        <v>351</v>
      </c>
      <c r="E89" t="s">
        <v>29</v>
      </c>
      <c r="F89" s="34">
        <v>44422</v>
      </c>
      <c r="G89">
        <v>46508</v>
      </c>
      <c r="H89">
        <v>34</v>
      </c>
      <c r="I89" t="s">
        <v>39</v>
      </c>
      <c r="J89" t="s">
        <v>249</v>
      </c>
      <c r="K89">
        <v>46508</v>
      </c>
      <c r="L89">
        <v>4.92</v>
      </c>
      <c r="M89" t="s">
        <v>254</v>
      </c>
    </row>
    <row r="90" spans="1:13" x14ac:dyDescent="0.25">
      <c r="A90" t="s">
        <v>159</v>
      </c>
      <c r="B90" t="s">
        <v>133</v>
      </c>
      <c r="C90" t="s">
        <v>17</v>
      </c>
      <c r="D90" t="s">
        <v>352</v>
      </c>
      <c r="E90" t="s">
        <v>29</v>
      </c>
      <c r="F90" s="34">
        <v>43436</v>
      </c>
      <c r="G90">
        <v>68683</v>
      </c>
      <c r="H90">
        <v>90</v>
      </c>
      <c r="I90" t="s">
        <v>39</v>
      </c>
      <c r="J90" t="s">
        <v>249</v>
      </c>
      <c r="K90">
        <v>68683</v>
      </c>
      <c r="L90">
        <v>7.62</v>
      </c>
      <c r="M90" t="s">
        <v>257</v>
      </c>
    </row>
    <row r="91" spans="1:13" x14ac:dyDescent="0.25">
      <c r="A91" t="s">
        <v>203</v>
      </c>
      <c r="B91" t="s">
        <v>84</v>
      </c>
      <c r="C91" t="s">
        <v>35</v>
      </c>
      <c r="D91" t="s">
        <v>353</v>
      </c>
      <c r="E91" t="s">
        <v>29</v>
      </c>
      <c r="F91" s="34">
        <v>44930</v>
      </c>
      <c r="G91">
        <v>60623</v>
      </c>
      <c r="H91">
        <v>78</v>
      </c>
      <c r="I91" t="s">
        <v>39</v>
      </c>
      <c r="J91" t="s">
        <v>249</v>
      </c>
      <c r="K91">
        <v>60623</v>
      </c>
      <c r="L91">
        <v>3.53</v>
      </c>
      <c r="M91" t="s">
        <v>272</v>
      </c>
    </row>
    <row r="92" spans="1:13" x14ac:dyDescent="0.25">
      <c r="A92" t="s">
        <v>176</v>
      </c>
      <c r="B92" t="s">
        <v>20</v>
      </c>
      <c r="C92" t="s">
        <v>25</v>
      </c>
      <c r="D92" t="s">
        <v>354</v>
      </c>
      <c r="E92" t="s">
        <v>29</v>
      </c>
      <c r="F92" s="34">
        <v>43122</v>
      </c>
      <c r="G92">
        <v>89060</v>
      </c>
      <c r="H92">
        <v>58</v>
      </c>
      <c r="I92" t="s">
        <v>39</v>
      </c>
      <c r="J92" t="s">
        <v>249</v>
      </c>
      <c r="K92">
        <v>89060</v>
      </c>
      <c r="L92">
        <v>8.48</v>
      </c>
      <c r="M92" t="s">
        <v>255</v>
      </c>
    </row>
    <row r="93" spans="1:13" x14ac:dyDescent="0.25">
      <c r="A93" t="s">
        <v>178</v>
      </c>
      <c r="B93" t="s">
        <v>9</v>
      </c>
      <c r="C93" t="s">
        <v>28</v>
      </c>
      <c r="D93" t="s">
        <v>340</v>
      </c>
      <c r="E93" t="s">
        <v>29</v>
      </c>
      <c r="F93" t="s">
        <v>179</v>
      </c>
      <c r="G93">
        <v>81167</v>
      </c>
      <c r="H93">
        <v>65</v>
      </c>
      <c r="I93" t="s">
        <v>39</v>
      </c>
      <c r="J93" t="s">
        <v>249</v>
      </c>
      <c r="K93">
        <v>81167</v>
      </c>
      <c r="L93">
        <v>10.15</v>
      </c>
      <c r="M93" t="s">
        <v>255</v>
      </c>
    </row>
    <row r="94" spans="1:13" x14ac:dyDescent="0.25">
      <c r="A94" t="s">
        <v>187</v>
      </c>
      <c r="B94" t="s">
        <v>24</v>
      </c>
      <c r="C94" t="s">
        <v>50</v>
      </c>
      <c r="D94" t="s">
        <v>336</v>
      </c>
      <c r="E94" t="s">
        <v>29</v>
      </c>
      <c r="F94" s="34">
        <v>44421</v>
      </c>
      <c r="G94" t="s">
        <v>188</v>
      </c>
      <c r="H94">
        <v>72</v>
      </c>
      <c r="I94" t="s">
        <v>39</v>
      </c>
      <c r="J94" t="s">
        <v>249</v>
      </c>
      <c r="K94" t="s">
        <v>188</v>
      </c>
      <c r="L94">
        <v>4.92</v>
      </c>
      <c r="M94" t="s">
        <v>272</v>
      </c>
    </row>
    <row r="95" spans="1:13" x14ac:dyDescent="0.25">
      <c r="A95" t="s">
        <v>237</v>
      </c>
      <c r="B95" t="s">
        <v>84</v>
      </c>
      <c r="C95" t="s">
        <v>41</v>
      </c>
      <c r="D95" t="s">
        <v>355</v>
      </c>
      <c r="E95" t="s">
        <v>38</v>
      </c>
      <c r="F95" s="34">
        <v>42519</v>
      </c>
      <c r="G95">
        <v>62798</v>
      </c>
      <c r="H95">
        <v>30</v>
      </c>
      <c r="I95" t="s">
        <v>39</v>
      </c>
      <c r="J95" t="s">
        <v>248</v>
      </c>
      <c r="K95">
        <v>62798</v>
      </c>
      <c r="L95">
        <v>10.130000000000001</v>
      </c>
      <c r="M95" t="s">
        <v>254</v>
      </c>
    </row>
    <row r="96" spans="1:13" x14ac:dyDescent="0.25">
      <c r="A96" t="s">
        <v>36</v>
      </c>
      <c r="B96" t="s">
        <v>37</v>
      </c>
      <c r="C96" t="s">
        <v>21</v>
      </c>
      <c r="D96" t="s">
        <v>356</v>
      </c>
      <c r="E96" t="s">
        <v>38</v>
      </c>
      <c r="F96" s="34">
        <v>42676</v>
      </c>
      <c r="G96">
        <v>94998</v>
      </c>
      <c r="H96">
        <v>58</v>
      </c>
      <c r="I96" t="s">
        <v>39</v>
      </c>
      <c r="J96" t="s">
        <v>248</v>
      </c>
      <c r="K96">
        <v>94998</v>
      </c>
      <c r="L96">
        <v>9.6999999999999993</v>
      </c>
      <c r="M96" t="s">
        <v>255</v>
      </c>
    </row>
    <row r="97" spans="1:13" x14ac:dyDescent="0.25">
      <c r="A97" t="s">
        <v>40</v>
      </c>
      <c r="B97" t="s">
        <v>9</v>
      </c>
      <c r="C97" t="s">
        <v>41</v>
      </c>
      <c r="D97" t="s">
        <v>357</v>
      </c>
      <c r="E97" t="s">
        <v>38</v>
      </c>
      <c r="F97" s="34">
        <v>43911</v>
      </c>
      <c r="G97" t="s">
        <v>42</v>
      </c>
      <c r="H97">
        <v>49</v>
      </c>
      <c r="I97" t="s">
        <v>39</v>
      </c>
      <c r="J97" t="s">
        <v>248</v>
      </c>
      <c r="K97" t="s">
        <v>42</v>
      </c>
      <c r="L97">
        <v>6.32</v>
      </c>
      <c r="M97" t="s">
        <v>254</v>
      </c>
    </row>
    <row r="98" spans="1:13" x14ac:dyDescent="0.25">
      <c r="A98" t="s">
        <v>51</v>
      </c>
      <c r="B98" t="s">
        <v>24</v>
      </c>
      <c r="C98" t="s">
        <v>35</v>
      </c>
      <c r="D98" t="s">
        <v>288</v>
      </c>
      <c r="E98" t="s">
        <v>38</v>
      </c>
      <c r="F98" s="34">
        <v>45169</v>
      </c>
      <c r="G98">
        <v>65290</v>
      </c>
      <c r="H98">
        <v>77</v>
      </c>
      <c r="I98" t="s">
        <v>39</v>
      </c>
      <c r="J98" t="s">
        <v>248</v>
      </c>
      <c r="K98">
        <v>65290</v>
      </c>
      <c r="L98">
        <v>2.88</v>
      </c>
      <c r="M98" t="s">
        <v>272</v>
      </c>
    </row>
    <row r="99" spans="1:13" x14ac:dyDescent="0.25">
      <c r="A99" t="s">
        <v>54</v>
      </c>
      <c r="B99" t="s">
        <v>55</v>
      </c>
      <c r="C99" t="s">
        <v>21</v>
      </c>
      <c r="D99" t="s">
        <v>358</v>
      </c>
      <c r="E99" t="s">
        <v>38</v>
      </c>
      <c r="F99" s="34">
        <v>42899</v>
      </c>
      <c r="G99">
        <v>102921</v>
      </c>
      <c r="H99">
        <v>49</v>
      </c>
      <c r="I99" t="s">
        <v>39</v>
      </c>
      <c r="J99" t="s">
        <v>248</v>
      </c>
      <c r="K99">
        <v>102921</v>
      </c>
      <c r="L99">
        <v>9.09</v>
      </c>
      <c r="M99" t="s">
        <v>254</v>
      </c>
    </row>
    <row r="100" spans="1:13" x14ac:dyDescent="0.25">
      <c r="A100" t="s">
        <v>65</v>
      </c>
      <c r="B100" t="s">
        <v>57</v>
      </c>
      <c r="C100" t="s">
        <v>46</v>
      </c>
      <c r="D100" t="s">
        <v>359</v>
      </c>
      <c r="E100" t="s">
        <v>38</v>
      </c>
      <c r="F100" s="34">
        <v>44728</v>
      </c>
      <c r="G100">
        <v>68655</v>
      </c>
      <c r="H100">
        <v>32</v>
      </c>
      <c r="I100" t="s">
        <v>39</v>
      </c>
      <c r="J100" t="s">
        <v>248</v>
      </c>
      <c r="K100">
        <v>68655</v>
      </c>
      <c r="L100">
        <v>4.08</v>
      </c>
      <c r="M100" t="s">
        <v>254</v>
      </c>
    </row>
    <row r="101" spans="1:13" x14ac:dyDescent="0.25">
      <c r="A101" t="s">
        <v>66</v>
      </c>
      <c r="C101" t="s">
        <v>46</v>
      </c>
      <c r="D101" t="s">
        <v>360</v>
      </c>
      <c r="E101" t="s">
        <v>38</v>
      </c>
      <c r="F101" s="34">
        <v>45134</v>
      </c>
      <c r="G101">
        <v>81205</v>
      </c>
      <c r="H101">
        <v>59</v>
      </c>
      <c r="I101" t="s">
        <v>39</v>
      </c>
      <c r="J101" t="s">
        <v>248</v>
      </c>
      <c r="K101">
        <v>81205</v>
      </c>
      <c r="L101">
        <v>2.97</v>
      </c>
      <c r="M101" t="s">
        <v>255</v>
      </c>
    </row>
    <row r="102" spans="1:13" x14ac:dyDescent="0.25">
      <c r="A102" t="s">
        <v>67</v>
      </c>
      <c r="B102" t="s">
        <v>20</v>
      </c>
      <c r="C102" t="s">
        <v>31</v>
      </c>
      <c r="D102" t="s">
        <v>343</v>
      </c>
      <c r="E102" t="s">
        <v>38</v>
      </c>
      <c r="F102" t="s">
        <v>68</v>
      </c>
      <c r="G102" t="s">
        <v>69</v>
      </c>
      <c r="H102">
        <v>88</v>
      </c>
      <c r="I102" t="s">
        <v>39</v>
      </c>
      <c r="J102" t="s">
        <v>248</v>
      </c>
      <c r="K102" t="s">
        <v>69</v>
      </c>
      <c r="L102">
        <v>6.81</v>
      </c>
      <c r="M102" t="s">
        <v>257</v>
      </c>
    </row>
    <row r="103" spans="1:13" x14ac:dyDescent="0.25">
      <c r="A103" t="s">
        <v>73</v>
      </c>
      <c r="B103" t="s">
        <v>20</v>
      </c>
      <c r="C103" t="s">
        <v>35</v>
      </c>
      <c r="D103" t="s">
        <v>361</v>
      </c>
      <c r="E103" t="s">
        <v>38</v>
      </c>
      <c r="F103" s="34">
        <v>42202</v>
      </c>
      <c r="G103">
        <v>81083.352941176476</v>
      </c>
      <c r="H103">
        <v>68</v>
      </c>
      <c r="I103" t="s">
        <v>39</v>
      </c>
      <c r="J103" t="s">
        <v>248</v>
      </c>
      <c r="K103">
        <v>81083.352941176476</v>
      </c>
      <c r="L103">
        <v>10.99</v>
      </c>
      <c r="M103" t="s">
        <v>255</v>
      </c>
    </row>
    <row r="104" spans="1:13" x14ac:dyDescent="0.25">
      <c r="A104" t="s">
        <v>83</v>
      </c>
      <c r="B104" t="s">
        <v>84</v>
      </c>
      <c r="C104" t="s">
        <v>10</v>
      </c>
      <c r="D104" t="s">
        <v>362</v>
      </c>
      <c r="E104" t="s">
        <v>38</v>
      </c>
      <c r="F104" t="s">
        <v>85</v>
      </c>
      <c r="G104">
        <v>69219</v>
      </c>
      <c r="H104">
        <v>93</v>
      </c>
      <c r="I104" t="s">
        <v>39</v>
      </c>
      <c r="J104" t="s">
        <v>248</v>
      </c>
      <c r="K104">
        <v>69219</v>
      </c>
      <c r="L104">
        <v>4.04</v>
      </c>
      <c r="M104" t="s">
        <v>257</v>
      </c>
    </row>
    <row r="105" spans="1:13" x14ac:dyDescent="0.25">
      <c r="A105" t="s">
        <v>90</v>
      </c>
      <c r="B105" t="s">
        <v>91</v>
      </c>
      <c r="C105" t="s">
        <v>14</v>
      </c>
      <c r="D105" t="s">
        <v>363</v>
      </c>
      <c r="E105" t="s">
        <v>38</v>
      </c>
      <c r="F105" s="34">
        <v>43958</v>
      </c>
      <c r="G105">
        <v>52407</v>
      </c>
      <c r="H105">
        <v>55</v>
      </c>
      <c r="I105" t="s">
        <v>39</v>
      </c>
      <c r="J105" t="s">
        <v>248</v>
      </c>
      <c r="K105">
        <v>52407</v>
      </c>
      <c r="L105">
        <v>6.19</v>
      </c>
      <c r="M105" t="s">
        <v>255</v>
      </c>
    </row>
    <row r="106" spans="1:13" x14ac:dyDescent="0.25">
      <c r="A106" t="s">
        <v>96</v>
      </c>
      <c r="B106" t="s">
        <v>60</v>
      </c>
      <c r="C106" t="s">
        <v>58</v>
      </c>
      <c r="D106" t="s">
        <v>364</v>
      </c>
      <c r="E106" t="s">
        <v>38</v>
      </c>
      <c r="F106" t="s">
        <v>97</v>
      </c>
      <c r="G106">
        <v>78402</v>
      </c>
      <c r="H106">
        <v>54</v>
      </c>
      <c r="I106" t="s">
        <v>39</v>
      </c>
      <c r="J106" t="s">
        <v>248</v>
      </c>
      <c r="K106">
        <v>78402</v>
      </c>
      <c r="L106">
        <v>10</v>
      </c>
      <c r="M106" t="s">
        <v>255</v>
      </c>
    </row>
    <row r="107" spans="1:13" x14ac:dyDescent="0.25">
      <c r="A107" t="s">
        <v>223</v>
      </c>
      <c r="B107" t="s">
        <v>55</v>
      </c>
      <c r="C107" t="s">
        <v>31</v>
      </c>
      <c r="D107" t="s">
        <v>365</v>
      </c>
      <c r="E107" t="s">
        <v>38</v>
      </c>
      <c r="F107" s="34">
        <v>44375</v>
      </c>
      <c r="G107">
        <v>81083.352941176476</v>
      </c>
      <c r="H107">
        <v>52</v>
      </c>
      <c r="I107" t="s">
        <v>39</v>
      </c>
      <c r="J107" t="s">
        <v>248</v>
      </c>
      <c r="K107">
        <v>81083.352941176476</v>
      </c>
      <c r="L107">
        <v>5.05</v>
      </c>
      <c r="M107" t="s">
        <v>255</v>
      </c>
    </row>
    <row r="108" spans="1:13" x14ac:dyDescent="0.25">
      <c r="A108" t="s">
        <v>108</v>
      </c>
      <c r="B108" t="s">
        <v>9</v>
      </c>
      <c r="C108" t="s">
        <v>28</v>
      </c>
      <c r="D108" t="s">
        <v>340</v>
      </c>
      <c r="E108" t="s">
        <v>38</v>
      </c>
      <c r="F108" s="34">
        <v>43464</v>
      </c>
      <c r="G108">
        <v>80189</v>
      </c>
      <c r="H108">
        <v>30</v>
      </c>
      <c r="I108" t="s">
        <v>39</v>
      </c>
      <c r="J108" t="s">
        <v>248</v>
      </c>
      <c r="K108">
        <v>80189</v>
      </c>
      <c r="L108">
        <v>7.54</v>
      </c>
      <c r="M108" t="s">
        <v>254</v>
      </c>
    </row>
    <row r="109" spans="1:13" x14ac:dyDescent="0.25">
      <c r="A109" t="s">
        <v>117</v>
      </c>
      <c r="B109" t="s">
        <v>9</v>
      </c>
      <c r="C109" t="s">
        <v>31</v>
      </c>
      <c r="D109" t="s">
        <v>366</v>
      </c>
      <c r="E109" t="s">
        <v>38</v>
      </c>
      <c r="F109" s="34">
        <v>45217</v>
      </c>
      <c r="G109">
        <v>110381</v>
      </c>
      <c r="H109">
        <v>93</v>
      </c>
      <c r="I109" t="s">
        <v>39</v>
      </c>
      <c r="J109" t="s">
        <v>248</v>
      </c>
      <c r="K109">
        <v>110381</v>
      </c>
      <c r="L109">
        <v>2.74</v>
      </c>
      <c r="M109" t="s">
        <v>257</v>
      </c>
    </row>
    <row r="110" spans="1:13" x14ac:dyDescent="0.25">
      <c r="A110" t="s">
        <v>127</v>
      </c>
      <c r="B110" t="s">
        <v>37</v>
      </c>
      <c r="C110" t="s">
        <v>41</v>
      </c>
      <c r="D110" t="s">
        <v>367</v>
      </c>
      <c r="E110" t="s">
        <v>38</v>
      </c>
      <c r="F110" s="34">
        <v>42818</v>
      </c>
      <c r="G110" t="s">
        <v>128</v>
      </c>
      <c r="H110">
        <v>65</v>
      </c>
      <c r="I110" t="s">
        <v>39</v>
      </c>
      <c r="J110" t="s">
        <v>248</v>
      </c>
      <c r="K110" t="s">
        <v>128</v>
      </c>
      <c r="L110">
        <v>9.31</v>
      </c>
      <c r="M110" t="s">
        <v>255</v>
      </c>
    </row>
    <row r="111" spans="1:13" x14ac:dyDescent="0.25">
      <c r="A111" t="s">
        <v>132</v>
      </c>
      <c r="B111" t="s">
        <v>133</v>
      </c>
      <c r="C111" t="s">
        <v>110</v>
      </c>
      <c r="D111" t="s">
        <v>368</v>
      </c>
      <c r="E111" t="s">
        <v>38</v>
      </c>
      <c r="F111" s="34">
        <v>42192</v>
      </c>
      <c r="G111">
        <v>65235</v>
      </c>
      <c r="H111">
        <v>97</v>
      </c>
      <c r="I111" t="s">
        <v>39</v>
      </c>
      <c r="J111" t="s">
        <v>248</v>
      </c>
      <c r="K111">
        <v>65235</v>
      </c>
      <c r="L111">
        <v>11.02</v>
      </c>
      <c r="M111" t="s">
        <v>258</v>
      </c>
    </row>
    <row r="112" spans="1:13" x14ac:dyDescent="0.25">
      <c r="A112" t="s">
        <v>136</v>
      </c>
      <c r="B112" t="s">
        <v>45</v>
      </c>
      <c r="C112" t="s">
        <v>17</v>
      </c>
      <c r="D112" t="s">
        <v>369</v>
      </c>
      <c r="E112" t="s">
        <v>38</v>
      </c>
      <c r="F112" s="34">
        <v>42249</v>
      </c>
      <c r="G112">
        <v>81083.352941176476</v>
      </c>
      <c r="H112">
        <v>67</v>
      </c>
      <c r="I112" t="s">
        <v>39</v>
      </c>
      <c r="J112" t="s">
        <v>248</v>
      </c>
      <c r="K112">
        <v>81083.352941176476</v>
      </c>
      <c r="L112">
        <v>10.87</v>
      </c>
      <c r="M112" t="s">
        <v>255</v>
      </c>
    </row>
    <row r="113" spans="1:13" x14ac:dyDescent="0.25">
      <c r="A113" t="s">
        <v>202</v>
      </c>
      <c r="B113" t="s">
        <v>49</v>
      </c>
      <c r="C113" t="s">
        <v>46</v>
      </c>
      <c r="D113" t="s">
        <v>370</v>
      </c>
      <c r="E113" t="s">
        <v>38</v>
      </c>
      <c r="F113" s="34">
        <v>42956</v>
      </c>
      <c r="G113">
        <v>81083.352941176476</v>
      </c>
      <c r="H113">
        <v>76</v>
      </c>
      <c r="I113" t="s">
        <v>39</v>
      </c>
      <c r="J113" t="s">
        <v>248</v>
      </c>
      <c r="K113">
        <v>81083.352941176476</v>
      </c>
      <c r="L113">
        <v>8.93</v>
      </c>
      <c r="M113" t="s">
        <v>272</v>
      </c>
    </row>
    <row r="114" spans="1:13" x14ac:dyDescent="0.25">
      <c r="A114" t="s">
        <v>165</v>
      </c>
      <c r="B114" t="s">
        <v>133</v>
      </c>
      <c r="C114" t="s">
        <v>17</v>
      </c>
      <c r="D114" t="s">
        <v>352</v>
      </c>
      <c r="E114" t="s">
        <v>38</v>
      </c>
      <c r="F114" s="34">
        <v>42008</v>
      </c>
      <c r="G114" t="s">
        <v>166</v>
      </c>
      <c r="H114">
        <v>61</v>
      </c>
      <c r="I114" t="s">
        <v>39</v>
      </c>
      <c r="J114" t="s">
        <v>248</v>
      </c>
      <c r="K114" t="s">
        <v>166</v>
      </c>
      <c r="L114">
        <v>11.53</v>
      </c>
      <c r="M114" t="s">
        <v>255</v>
      </c>
    </row>
    <row r="115" spans="1:13" x14ac:dyDescent="0.25">
      <c r="A115" t="s">
        <v>167</v>
      </c>
      <c r="C115" t="s">
        <v>25</v>
      </c>
      <c r="D115" t="s">
        <v>371</v>
      </c>
      <c r="E115" t="s">
        <v>38</v>
      </c>
      <c r="F115" s="34">
        <v>43439</v>
      </c>
      <c r="G115">
        <v>80140</v>
      </c>
      <c r="H115">
        <v>58</v>
      </c>
      <c r="I115" t="s">
        <v>39</v>
      </c>
      <c r="J115" t="s">
        <v>248</v>
      </c>
      <c r="K115">
        <v>80140</v>
      </c>
      <c r="L115">
        <v>7.61</v>
      </c>
      <c r="M115" t="s">
        <v>255</v>
      </c>
    </row>
    <row r="116" spans="1:13" x14ac:dyDescent="0.25">
      <c r="A116" t="s">
        <v>169</v>
      </c>
      <c r="B116" t="s">
        <v>45</v>
      </c>
      <c r="C116" t="s">
        <v>28</v>
      </c>
      <c r="D116" t="s">
        <v>372</v>
      </c>
      <c r="E116" t="s">
        <v>38</v>
      </c>
      <c r="F116" s="34">
        <v>44081</v>
      </c>
      <c r="G116">
        <v>95292</v>
      </c>
      <c r="H116">
        <v>34</v>
      </c>
      <c r="I116" t="s">
        <v>39</v>
      </c>
      <c r="J116" t="s">
        <v>248</v>
      </c>
      <c r="K116">
        <v>95292</v>
      </c>
      <c r="L116">
        <v>5.86</v>
      </c>
      <c r="M116" t="s">
        <v>254</v>
      </c>
    </row>
    <row r="117" spans="1:13" x14ac:dyDescent="0.25">
      <c r="A117" t="s">
        <v>200</v>
      </c>
      <c r="B117" t="s">
        <v>77</v>
      </c>
      <c r="C117" t="s">
        <v>31</v>
      </c>
      <c r="D117" t="s">
        <v>373</v>
      </c>
      <c r="E117" t="s">
        <v>38</v>
      </c>
      <c r="F117" s="34">
        <v>44500</v>
      </c>
      <c r="G117">
        <v>81083.352941176476</v>
      </c>
      <c r="H117">
        <v>49</v>
      </c>
      <c r="I117" t="s">
        <v>39</v>
      </c>
      <c r="J117" t="s">
        <v>248</v>
      </c>
      <c r="K117">
        <v>81083.352941176476</v>
      </c>
      <c r="L117">
        <v>4.71</v>
      </c>
      <c r="M117" t="s">
        <v>254</v>
      </c>
    </row>
    <row r="118" spans="1:13" x14ac:dyDescent="0.25">
      <c r="A118" t="s">
        <v>184</v>
      </c>
      <c r="B118" t="s">
        <v>77</v>
      </c>
      <c r="C118" t="s">
        <v>41</v>
      </c>
      <c r="D118" t="s">
        <v>338</v>
      </c>
      <c r="E118" t="s">
        <v>38</v>
      </c>
      <c r="F118" s="34">
        <v>43513</v>
      </c>
      <c r="G118" t="s">
        <v>185</v>
      </c>
      <c r="H118">
        <v>91</v>
      </c>
      <c r="I118" t="s">
        <v>39</v>
      </c>
      <c r="J118" t="s">
        <v>248</v>
      </c>
      <c r="K118" t="s">
        <v>185</v>
      </c>
      <c r="L118">
        <v>7.41</v>
      </c>
      <c r="M118" t="s">
        <v>257</v>
      </c>
    </row>
    <row r="119" spans="1:13" x14ac:dyDescent="0.25">
      <c r="A119" t="s">
        <v>186</v>
      </c>
      <c r="B119" t="s">
        <v>33</v>
      </c>
      <c r="C119" t="s">
        <v>25</v>
      </c>
      <c r="D119" t="s">
        <v>341</v>
      </c>
      <c r="E119" t="s">
        <v>38</v>
      </c>
      <c r="F119" s="34">
        <v>42625</v>
      </c>
      <c r="G119">
        <v>114681</v>
      </c>
      <c r="H119">
        <v>36</v>
      </c>
      <c r="I119" t="s">
        <v>39</v>
      </c>
      <c r="J119" t="s">
        <v>248</v>
      </c>
      <c r="K119">
        <v>114681</v>
      </c>
      <c r="L119">
        <v>9.84</v>
      </c>
      <c r="M119" t="s">
        <v>254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CCA94-3C67-4F38-AE14-F551850726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 1</vt:lpstr>
      <vt:lpstr>Raw_Employee_Data</vt:lpstr>
      <vt:lpstr>Lookup_Departments</vt:lpstr>
      <vt:lpstr>Lookup_Performance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Mushafau Idowu</cp:lastModifiedBy>
  <dcterms:created xsi:type="dcterms:W3CDTF">2026-06-04T20:20:01Z</dcterms:created>
  <dcterms:modified xsi:type="dcterms:W3CDTF">2026-07-22T17:59:14Z</dcterms:modified>
</cp:coreProperties>
</file>